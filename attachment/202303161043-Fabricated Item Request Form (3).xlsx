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tmp" ContentType="image/png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apbiphsh04\30_ENGDept\34_BPS\03_BPS Common\12_ISO9001\For portal upload\"/>
    </mc:Choice>
  </mc:AlternateContent>
  <xr:revisionPtr revIDLastSave="0" documentId="13_ncr:1_{D4553127-4343-488D-A2C4-DE1A96A6BE6C}" xr6:coauthVersionLast="45" xr6:coauthVersionMax="45" xr10:uidLastSave="{00000000-0000-0000-0000-000000000000}"/>
  <bookViews>
    <workbookView xWindow="-120" yWindow="-120" windowWidth="24240" windowHeight="13140" tabRatio="721" xr2:uid="{00000000-000D-0000-FFFF-FFFF00000000}"/>
  </bookViews>
  <sheets>
    <sheet name="Request Form" sheetId="21" r:id="rId1"/>
    <sheet name="Sample if PE design" sheetId="13" state="hidden" r:id="rId2"/>
    <sheet name="Summary of Sample" sheetId="9" r:id="rId3"/>
    <sheet name="Sample if section design" sheetId="12" r:id="rId4"/>
    <sheet name="Application Form.rev01" sheetId="18" state="hidden" r:id="rId5"/>
    <sheet name="Requesting Flow  (2)" sheetId="19" state="hidden" r:id="rId6"/>
    <sheet name="cost" sheetId="16" state="hidden" r:id="rId7"/>
  </sheets>
  <definedNames>
    <definedName name="_xlnm.Print_Area" localSheetId="4">'Application Form.rev01'!$A$1:$X$48</definedName>
    <definedName name="_xlnm.Print_Area" localSheetId="0">'Request Form'!$A$1:$AD$124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V85" i="16" l="1"/>
  <c r="V87" i="16"/>
  <c r="V86" i="16"/>
  <c r="AF87" i="16"/>
  <c r="AF129" i="16"/>
  <c r="V129" i="16"/>
  <c r="AP87" i="16"/>
  <c r="AP86" i="16"/>
  <c r="AP85" i="16"/>
  <c r="AF86" i="16"/>
  <c r="V84" i="16"/>
  <c r="AP84" i="16"/>
  <c r="AP83" i="16"/>
  <c r="AP82" i="16"/>
  <c r="AF85" i="16"/>
  <c r="AF84" i="16"/>
  <c r="AF83" i="16"/>
  <c r="AF82" i="16"/>
  <c r="V83" i="16"/>
  <c r="V82" i="16"/>
  <c r="V81" i="16"/>
  <c r="V80" i="16"/>
  <c r="V79" i="16"/>
  <c r="AF128" i="16"/>
  <c r="AF127" i="16"/>
  <c r="AF126" i="16"/>
  <c r="AF125" i="16"/>
  <c r="V128" i="16"/>
  <c r="V127" i="16"/>
  <c r="V126" i="16"/>
  <c r="V125" i="16"/>
  <c r="L128" i="16"/>
  <c r="L127" i="16"/>
  <c r="L126" i="16"/>
  <c r="L125" i="16"/>
  <c r="AF123" i="16"/>
  <c r="AF122" i="16"/>
  <c r="V124" i="16"/>
  <c r="V123" i="16"/>
  <c r="V122" i="16"/>
  <c r="L124" i="16"/>
  <c r="L123" i="16"/>
  <c r="L122" i="16"/>
  <c r="AP81" i="16"/>
  <c r="AP80" i="16"/>
  <c r="AP79" i="16"/>
  <c r="AP78" i="16"/>
  <c r="AF80" i="16"/>
  <c r="AF79" i="16"/>
  <c r="AF78" i="16"/>
  <c r="V78" i="16"/>
  <c r="V77" i="16"/>
  <c r="V76" i="16"/>
  <c r="AP74" i="16"/>
  <c r="AP73" i="16"/>
  <c r="AP72" i="16"/>
  <c r="AP71" i="16"/>
  <c r="AP70" i="16"/>
  <c r="AF73" i="16"/>
  <c r="AF72" i="16"/>
  <c r="AF71" i="16"/>
  <c r="AF70" i="16"/>
  <c r="V75" i="16"/>
  <c r="V74" i="16"/>
  <c r="V73" i="16"/>
  <c r="V72" i="16"/>
  <c r="V71" i="16"/>
  <c r="V70" i="16"/>
  <c r="AF116" i="16"/>
  <c r="AF115" i="16"/>
  <c r="AF114" i="16"/>
  <c r="V116" i="16"/>
  <c r="V115" i="16"/>
  <c r="V114" i="16"/>
  <c r="L117" i="16"/>
  <c r="L116" i="16"/>
  <c r="L115" i="16"/>
  <c r="L114" i="16"/>
  <c r="L84" i="16"/>
  <c r="L82" i="16"/>
  <c r="L78" i="16"/>
  <c r="L87" i="16"/>
  <c r="L86" i="16"/>
  <c r="L85" i="16"/>
  <c r="L83" i="16"/>
  <c r="L81" i="16"/>
  <c r="L80" i="16"/>
  <c r="L79" i="16"/>
  <c r="L73" i="16"/>
  <c r="L71" i="16"/>
  <c r="L70" i="16"/>
  <c r="L72" i="16"/>
  <c r="AF131" i="16" l="1"/>
  <c r="V131" i="16"/>
  <c r="L131" i="16"/>
  <c r="AP88" i="16"/>
  <c r="AF88" i="16"/>
  <c r="V88" i="16"/>
  <c r="L88" i="16"/>
  <c r="L43" i="16"/>
  <c r="L42" i="16"/>
  <c r="AF41" i="16"/>
  <c r="L41" i="16"/>
  <c r="AF40" i="16"/>
  <c r="V40" i="16"/>
  <c r="L40" i="16"/>
  <c r="AF39" i="16"/>
  <c r="V39" i="16"/>
  <c r="L39" i="16"/>
  <c r="AF38" i="16"/>
  <c r="V38" i="16"/>
  <c r="L38" i="16"/>
  <c r="AF37" i="16"/>
  <c r="V37" i="16"/>
  <c r="L37" i="16"/>
  <c r="AF36" i="16"/>
  <c r="V36" i="16"/>
  <c r="L36" i="16"/>
  <c r="AF35" i="16"/>
  <c r="V35" i="16"/>
  <c r="L35" i="16"/>
  <c r="AF34" i="16"/>
  <c r="V34" i="16"/>
  <c r="L34" i="16"/>
  <c r="AF33" i="16"/>
  <c r="V33" i="16"/>
  <c r="L33" i="16"/>
  <c r="AF32" i="16"/>
  <c r="V32" i="16"/>
  <c r="L32" i="16"/>
  <c r="AF31" i="16"/>
  <c r="V31" i="16"/>
  <c r="L31" i="16"/>
  <c r="AF30" i="16"/>
  <c r="V30" i="16"/>
  <c r="L30" i="16"/>
  <c r="AF29" i="16"/>
  <c r="V29" i="16"/>
  <c r="L29" i="16"/>
  <c r="AF28" i="16"/>
  <c r="V28" i="16"/>
  <c r="L28" i="16"/>
  <c r="AF27" i="16"/>
  <c r="V27" i="16"/>
  <c r="L27" i="16"/>
  <c r="V41" i="16" l="1"/>
  <c r="L44" i="16"/>
  <c r="AF42" i="16"/>
  <c r="T49" i="13"/>
  <c r="T48" i="13"/>
  <c r="T47" i="13"/>
  <c r="T46" i="13"/>
  <c r="T45" i="13"/>
  <c r="T44" i="13"/>
  <c r="T43" i="13"/>
  <c r="T42" i="13"/>
  <c r="T41" i="13"/>
  <c r="T40" i="13"/>
  <c r="T39" i="13"/>
  <c r="T37" i="13"/>
  <c r="T35" i="13"/>
  <c r="T33" i="13"/>
  <c r="T31" i="13"/>
  <c r="T29" i="13"/>
  <c r="T27" i="13"/>
  <c r="T26" i="13"/>
  <c r="T25" i="13"/>
  <c r="T24" i="13"/>
  <c r="T23" i="13"/>
  <c r="T22" i="13"/>
  <c r="T21" i="13"/>
  <c r="T20" i="13"/>
  <c r="T19" i="13"/>
  <c r="T18" i="13"/>
  <c r="T17" i="13"/>
  <c r="T16" i="13"/>
  <c r="T15" i="13"/>
  <c r="T14" i="13"/>
  <c r="T13" i="13"/>
  <c r="T12" i="13"/>
  <c r="T49" i="12"/>
  <c r="T48" i="12"/>
  <c r="T47" i="12"/>
  <c r="T46" i="12"/>
  <c r="T45" i="12"/>
  <c r="T44" i="12"/>
  <c r="T43" i="12"/>
  <c r="T42" i="12"/>
  <c r="T41" i="12"/>
  <c r="T40" i="12"/>
  <c r="T39" i="12"/>
  <c r="T37" i="12"/>
  <c r="T35" i="12"/>
  <c r="T33" i="12"/>
  <c r="T31" i="12"/>
  <c r="T29" i="12"/>
  <c r="T27" i="12"/>
  <c r="T26" i="12"/>
  <c r="T25" i="12"/>
  <c r="T24" i="12"/>
  <c r="T23" i="12"/>
  <c r="T22" i="12"/>
  <c r="T21" i="12"/>
  <c r="T20" i="12"/>
  <c r="T19" i="12"/>
  <c r="T18" i="12"/>
  <c r="T17" i="12"/>
  <c r="T16" i="12"/>
  <c r="T15" i="12"/>
  <c r="T14" i="12"/>
  <c r="T13" i="12"/>
  <c r="T12" i="12"/>
  <c r="T50" i="13" l="1"/>
  <c r="T50" i="12"/>
</calcChain>
</file>

<file path=xl/sharedStrings.xml><?xml version="1.0" encoding="utf-8"?>
<sst xmlns="http://schemas.openxmlformats.org/spreadsheetml/2006/main" count="799" uniqueCount="257">
  <si>
    <t>　加工アイテム申請フロー</t>
  </si>
  <si>
    <t>Prepared by</t>
  </si>
  <si>
    <t>checked by</t>
  </si>
  <si>
    <t>Approved by</t>
  </si>
  <si>
    <t>Operation Flow</t>
  </si>
  <si>
    <t>Operation
オペレーション</t>
  </si>
  <si>
    <t>Details
詳細</t>
  </si>
  <si>
    <t>PIC
担当者</t>
  </si>
  <si>
    <t>Related document
関連書類</t>
  </si>
  <si>
    <t>Requesting Section PIC
申請課の担当</t>
  </si>
  <si>
    <t xml:space="preserve">
</t>
  </si>
  <si>
    <t xml:space="preserve">
Requesting Section PIC
申請課の担当</t>
  </si>
  <si>
    <t xml:space="preserve">
Fabricated item Application Form
加工アイテムの申請書</t>
  </si>
  <si>
    <t xml:space="preserve">IF PE Items:
• Input PE sample number in  the "Item details".
もしPE管理項目に所属するなら、PEサンプルNOを「加工アイテム申請書」のアイテム詳細に入力する
</t>
  </si>
  <si>
    <t>PE PIC
PE課の担当者</t>
  </si>
  <si>
    <t>Fabricated item Application Form
加工アイテムの申請書</t>
  </si>
  <si>
    <t>PE should start the fabrication of requested item/s once the target date is decided.
PE課は目標納期が決められた時点で依頼アイテムの加工を開始する</t>
  </si>
  <si>
    <t>PE
PE課</t>
  </si>
  <si>
    <t>PE PIC shall inform the requesting section once the project is completed.
PE課の担当者はプロジェクトが完了した時点で依頼課 に連絡する</t>
  </si>
  <si>
    <t>Section PIC should check the actual item/s.
依頼課は現物を確認する</t>
  </si>
  <si>
    <t>After checking,"OK"  Section PIC should sign the application form  and fill up the actual receive date of item/s.
※Original document should be kept by PE Section.
OK、問題無しと確認後、依頼課は加工アイテムの申請書に品物の受領日付を記入し、サインする
※申請書の原本はPE課で保管する</t>
  </si>
  <si>
    <t>Fabricated Item Application Form　加工アイテム申請書</t>
  </si>
  <si>
    <t>Requestor</t>
  </si>
  <si>
    <t>ITEM DETAILS アイテム詳細</t>
  </si>
  <si>
    <t>No.</t>
  </si>
  <si>
    <t>Specification
規格</t>
  </si>
  <si>
    <t>Unit Cost (USD)
単価</t>
  </si>
  <si>
    <t>QTY 
個数</t>
  </si>
  <si>
    <t>Cost 
コスト</t>
  </si>
  <si>
    <t>PE sample? 
PEサンプル？</t>
  </si>
  <si>
    <t>YES</t>
  </si>
  <si>
    <t>NO</t>
  </si>
  <si>
    <t>New</t>
  </si>
  <si>
    <t>Old</t>
  </si>
  <si>
    <t>PE Sample No. 
PEサンプルナンバー</t>
  </si>
  <si>
    <t>Urgent Request?
緊急リクエスト？</t>
  </si>
  <si>
    <t>Forecasted Month</t>
  </si>
  <si>
    <t>PE Section</t>
  </si>
  <si>
    <t>Grand Total (USD)</t>
  </si>
  <si>
    <t>Item Name</t>
  </si>
  <si>
    <t>UOM</t>
  </si>
  <si>
    <t>Metal Joint</t>
  </si>
  <si>
    <t>ILHJ-1</t>
  </si>
  <si>
    <t>H-2</t>
  </si>
  <si>
    <t>H-3</t>
  </si>
  <si>
    <t>Nuts ad Bolts</t>
  </si>
  <si>
    <t>IL0625 + IL06B</t>
  </si>
  <si>
    <t>End Cap</t>
  </si>
  <si>
    <t>ILPJ-110N</t>
  </si>
  <si>
    <t>Plastic Joint</t>
  </si>
  <si>
    <t>ILPJ-111</t>
  </si>
  <si>
    <t>Foot Adjuster</t>
  </si>
  <si>
    <t xml:space="preserve">ILEF-1200PR </t>
  </si>
  <si>
    <t>48X108</t>
  </si>
  <si>
    <t>Pipe</t>
  </si>
  <si>
    <t>Pladan  Gray</t>
  </si>
  <si>
    <t>Cable tie</t>
  </si>
  <si>
    <t>4.8X200</t>
  </si>
  <si>
    <t>SAMPLE No.1</t>
  </si>
  <si>
    <t>SAMPLE No.2</t>
  </si>
  <si>
    <t>SAMPLE No.3</t>
  </si>
  <si>
    <t>SAMPLE No.4</t>
  </si>
  <si>
    <t>Cleaning Materials Rack 1</t>
  </si>
  <si>
    <t>Cleaning Materials Rack 2</t>
  </si>
  <si>
    <t>Cleaning Materials Rack 3</t>
  </si>
  <si>
    <t>SAMPLE No.5</t>
  </si>
  <si>
    <t>SAMPLE No.6</t>
  </si>
  <si>
    <t>SAMPLE No.7</t>
  </si>
  <si>
    <t>SAMPLE No.8</t>
  </si>
  <si>
    <t>PQC Carton Box Rack</t>
  </si>
  <si>
    <t>Printer Rack</t>
  </si>
  <si>
    <t>TV Table</t>
  </si>
  <si>
    <t>PC Table</t>
  </si>
  <si>
    <t>SAMPLE No.9</t>
  </si>
  <si>
    <t>SAMPLE No.10</t>
  </si>
  <si>
    <t>SAMPLE No.11</t>
  </si>
  <si>
    <t>Projector Rack</t>
  </si>
  <si>
    <t>CPU Rack</t>
  </si>
  <si>
    <t>Fire Extinguisher’s Rack</t>
  </si>
  <si>
    <t>Drawing Summary</t>
  </si>
  <si>
    <t>Supervisor</t>
  </si>
  <si>
    <t>Requesting　Section</t>
  </si>
  <si>
    <t>Required Total Quantity 
申請数量</t>
  </si>
  <si>
    <t>Item Name
アイテム名</t>
  </si>
  <si>
    <t xml:space="preserve">Classification
分類 </t>
  </si>
  <si>
    <t>Required Date　
申請日付</t>
  </si>
  <si>
    <t>Actual Received  Delivery 
 実際の受領日</t>
  </si>
  <si>
    <t>Confirmed By
 確認・受領者サイン</t>
  </si>
  <si>
    <t>Received Date 
依頼受取日付</t>
  </si>
  <si>
    <t>Target Delivery 
目標納期</t>
  </si>
  <si>
    <t>Actual Completion Date 
実際の完了日</t>
  </si>
  <si>
    <r>
      <t xml:space="preserve">DRAWING or PHOTO   図面 or 写真
</t>
    </r>
    <r>
      <rPr>
        <sz val="8"/>
        <color theme="1"/>
        <rFont val="Calibri"/>
        <family val="2"/>
        <scheme val="minor"/>
      </rPr>
      <t>-If PE Sample, No Need to provide a drawing.
-If Section Design, need to provide a drawing with complete measurement.</t>
    </r>
  </si>
  <si>
    <t>This form is applicable only to all production indirect sections in BIPH.</t>
  </si>
  <si>
    <t>このフォームはBIPH内全ての間接部門・課に適用する。</t>
  </si>
  <si>
    <t>Material Computation 使用間材計算
( For PE Section Use )</t>
  </si>
  <si>
    <t>Requesting Section</t>
  </si>
  <si>
    <t>Fabrication PIC 
加工担当</t>
  </si>
  <si>
    <t>Scope of Application:</t>
  </si>
  <si>
    <t>Remark items 備考事項:</t>
  </si>
  <si>
    <t>2. Fill up the application form</t>
  </si>
  <si>
    <t>Manager</t>
  </si>
  <si>
    <t>4. Submit the printed copy to PE Section</t>
  </si>
  <si>
    <t>How to request：</t>
  </si>
  <si>
    <t>1.  Decide which item to be requested to PE</t>
  </si>
  <si>
    <t>3. Request approval from section supervisor  and section manager</t>
  </si>
  <si>
    <t>H-1</t>
  </si>
  <si>
    <t>√</t>
  </si>
  <si>
    <t>BPS</t>
  </si>
  <si>
    <t>Paolo</t>
  </si>
  <si>
    <t>Materials</t>
  </si>
  <si>
    <t>pcs</t>
  </si>
  <si>
    <t>sets</t>
  </si>
  <si>
    <t>set</t>
  </si>
  <si>
    <t>Common item</t>
  </si>
  <si>
    <t>PQC</t>
  </si>
  <si>
    <t>LC</t>
  </si>
  <si>
    <t>CLEANING MATERIALS RACK (I)</t>
  </si>
  <si>
    <t>CLEANING MATERIALS RACK (II)</t>
  </si>
  <si>
    <t>Specifications</t>
  </si>
  <si>
    <t xml:space="preserve"> Quantity</t>
  </si>
  <si>
    <t>Unit 
Cost $</t>
  </si>
  <si>
    <t>Total Cost $</t>
  </si>
  <si>
    <t>Normal Pipe</t>
  </si>
  <si>
    <t>8cm</t>
  </si>
  <si>
    <t>pc</t>
  </si>
  <si>
    <t>30cm</t>
  </si>
  <si>
    <t>40cm</t>
  </si>
  <si>
    <t>176cm</t>
  </si>
  <si>
    <t>72cm</t>
  </si>
  <si>
    <t>Metal Joints</t>
  </si>
  <si>
    <t>Nuts and Bolts</t>
  </si>
  <si>
    <r>
      <t>cm</t>
    </r>
    <r>
      <rPr>
        <sz val="11"/>
        <color theme="1"/>
        <rFont val="Calibri"/>
        <family val="2"/>
      </rPr>
      <t>²</t>
    </r>
  </si>
  <si>
    <t>Plstic Joints</t>
  </si>
  <si>
    <t>TOTAL COST</t>
  </si>
  <si>
    <t>H-4</t>
  </si>
  <si>
    <t>100cm</t>
  </si>
  <si>
    <t>63.5cm</t>
  </si>
  <si>
    <t>42cm</t>
  </si>
  <si>
    <t>45cm</t>
  </si>
  <si>
    <t>46cm</t>
  </si>
  <si>
    <t>Pipe Clamp</t>
  </si>
  <si>
    <t>ESD Mat</t>
  </si>
  <si>
    <t>115cm</t>
  </si>
  <si>
    <t>96cm</t>
  </si>
  <si>
    <t>60cm</t>
  </si>
  <si>
    <t>39cm</t>
  </si>
  <si>
    <t>ILHJ-90</t>
  </si>
  <si>
    <t xml:space="preserve"> 4.8x200</t>
  </si>
  <si>
    <t>Cable Tie</t>
  </si>
  <si>
    <t xml:space="preserve"> 50x50cm</t>
  </si>
  <si>
    <t>Pladan Gray</t>
  </si>
  <si>
    <t xml:space="preserve"> 50x66cm</t>
  </si>
  <si>
    <t xml:space="preserve"> 16.5x51cm</t>
  </si>
  <si>
    <t>Cable Tie 4.8x199</t>
  </si>
  <si>
    <t>4.8x200</t>
  </si>
  <si>
    <t>51x127cm</t>
  </si>
  <si>
    <t>59x118cm</t>
  </si>
  <si>
    <t>40x54cm</t>
  </si>
  <si>
    <t>80x211cm</t>
  </si>
  <si>
    <t>80x180cm</t>
  </si>
  <si>
    <t>180x211cm</t>
  </si>
  <si>
    <t>114x55cm</t>
  </si>
  <si>
    <t xml:space="preserve">Pladan Gray </t>
  </si>
  <si>
    <t xml:space="preserve">Cable Tie </t>
  </si>
  <si>
    <t xml:space="preserve"> 114x55cm</t>
  </si>
  <si>
    <t>33cm</t>
  </si>
  <si>
    <t>65cm</t>
  </si>
  <si>
    <t>22cm</t>
  </si>
  <si>
    <t>4.8x199</t>
  </si>
  <si>
    <t>24cm</t>
  </si>
  <si>
    <t>15cm</t>
  </si>
  <si>
    <t>ILEF-1200PR</t>
  </si>
  <si>
    <t>200cm</t>
  </si>
  <si>
    <t>70cm</t>
  </si>
  <si>
    <t>95cm</t>
  </si>
  <si>
    <t>151cm</t>
  </si>
  <si>
    <t>6cm</t>
  </si>
  <si>
    <t>ILSM-B</t>
  </si>
  <si>
    <t>46x34cm</t>
  </si>
  <si>
    <t>26x35cm</t>
  </si>
  <si>
    <t>Cleaning Materials Rack 4</t>
  </si>
  <si>
    <t>Select item/s from PE Sample.</t>
  </si>
  <si>
    <t>&lt;Section Design &gt;
• Attach drawing sample in the application form.
• Requesting section PIC and PE PIC shall  make the first sample together.
・図面は「加工アイテム申請書」に添付する
・また申請課の担当とPEの担当は一緒に図面or実物サンプルを作成する　</t>
  </si>
  <si>
    <t>BROTHER INDUSTRIES (PHILIPPINES), INC</t>
  </si>
  <si>
    <t xml:space="preserve">REC0801-226-00 </t>
  </si>
  <si>
    <t>This application form is applicable to all sections in BIPH.</t>
  </si>
  <si>
    <t>REQUEST  DETAILS</t>
  </si>
  <si>
    <t>Fabricated Item Application Form</t>
  </si>
  <si>
    <t xml:space="preserve">PE sample? </t>
  </si>
  <si>
    <t xml:space="preserve">PE Sample No. </t>
  </si>
  <si>
    <t>Urgent Request?</t>
  </si>
  <si>
    <t>Confirmed By</t>
  </si>
  <si>
    <t xml:space="preserve">Received Date </t>
  </si>
  <si>
    <t xml:space="preserve">Actual Completion Date </t>
  </si>
  <si>
    <t>Name of Requestor</t>
  </si>
  <si>
    <t>Local Number</t>
  </si>
  <si>
    <t>Target date</t>
  </si>
  <si>
    <t>Adjusted target date</t>
  </si>
  <si>
    <t>Turn over date</t>
  </si>
  <si>
    <t>PE PIC</t>
  </si>
  <si>
    <t>Reason of urgency:</t>
  </si>
  <si>
    <r>
      <t xml:space="preserve">• </t>
    </r>
    <r>
      <rPr>
        <sz val="10"/>
        <color rgb="FF0000CC"/>
        <rFont val="Arial"/>
        <family val="2"/>
      </rPr>
      <t>Section and PE PIC shall decide target date</t>
    </r>
    <r>
      <rPr>
        <sz val="10"/>
        <color theme="1"/>
        <rFont val="Arial"/>
        <family val="2"/>
      </rPr>
      <t>.
・課の担当とPEの担当は目標納期を決定し</t>
    </r>
  </si>
  <si>
    <t>Section and PE PIC
課の担当とPE課の担当者</t>
  </si>
  <si>
    <t>Detailed Layout</t>
  </si>
  <si>
    <t>Item description:</t>
  </si>
  <si>
    <t>Budget Controller</t>
  </si>
  <si>
    <t>Printer Table</t>
  </si>
  <si>
    <t>Classification of item/s</t>
  </si>
  <si>
    <t>For Modification</t>
  </si>
  <si>
    <t>Condition of work</t>
  </si>
  <si>
    <t xml:space="preserve">Requested  Quantity </t>
  </si>
  <si>
    <t>Requesting Flow:</t>
  </si>
  <si>
    <t>*To be filled-up by Requesting Section</t>
  </si>
  <si>
    <t xml:space="preserve">Date Prepared </t>
  </si>
  <si>
    <t>Requestor Name</t>
  </si>
  <si>
    <t>Department/Section</t>
  </si>
  <si>
    <t>Recommended Working Condition</t>
  </si>
  <si>
    <t xml:space="preserve">     Please input working conditions prior to repair / 
     construction</t>
  </si>
  <si>
    <t>Requested by:</t>
  </si>
  <si>
    <t xml:space="preserve">Checked by: </t>
  </si>
  <si>
    <t>Approved by:</t>
  </si>
  <si>
    <t>Signature over printed name</t>
  </si>
  <si>
    <t>Section Supervisor</t>
  </si>
  <si>
    <t>RECEIVED BY</t>
  </si>
  <si>
    <t>COMMITMENT DATE</t>
  </si>
  <si>
    <t>STATUS</t>
  </si>
  <si>
    <t xml:space="preserve">REQUEST DETAILS </t>
  </si>
  <si>
    <t>Item Description</t>
  </si>
  <si>
    <t xml:space="preserve">Work Urgency </t>
  </si>
  <si>
    <t>Reason of urgency</t>
  </si>
  <si>
    <t xml:space="preserve"> Reason for Cancellation:</t>
  </si>
  <si>
    <t>Name</t>
  </si>
  <si>
    <t>Date</t>
  </si>
  <si>
    <r>
      <rPr>
        <b/>
        <sz val="14"/>
        <color theme="1"/>
        <rFont val="Calibri"/>
        <family val="2"/>
        <scheme val="minor"/>
      </rPr>
      <t>BROTHER INDUSTRIES (PHILIPPINES), INC.</t>
    </r>
    <r>
      <rPr>
        <sz val="11"/>
        <color theme="1"/>
        <rFont val="Calibri"/>
        <family val="2"/>
        <scheme val="minor"/>
      </rPr>
      <t xml:space="preserve">
Lot 1 B-2 Phase 1B, FPIP, Brgy. Ulango, Tanauan City, Batangas</t>
    </r>
  </si>
  <si>
    <t>Claiming of Requested item/s</t>
  </si>
  <si>
    <t>Section PIC</t>
  </si>
  <si>
    <t>Common Item</t>
  </si>
  <si>
    <t>Sample Number</t>
  </si>
  <si>
    <t>*To be filled-up by BPS Section</t>
  </si>
  <si>
    <t>BPS Target Date</t>
  </si>
  <si>
    <t>Fabricated Item Request Form</t>
  </si>
  <si>
    <t>Requestor's Local No.</t>
  </si>
  <si>
    <t>This request form is applicable to all sections in BIPH.</t>
  </si>
  <si>
    <t>Need Materials</t>
  </si>
  <si>
    <t>Specification</t>
  </si>
  <si>
    <t>QTY</t>
  </si>
  <si>
    <t>Type of Request</t>
  </si>
  <si>
    <t>Summary of Common  Items</t>
  </si>
  <si>
    <t>Quantity of Request</t>
  </si>
  <si>
    <t>Received Quantity</t>
  </si>
  <si>
    <t>Applying slip No.</t>
  </si>
  <si>
    <r>
      <rPr>
        <b/>
        <i/>
        <sz val="12"/>
        <color theme="1"/>
        <rFont val="Calibri"/>
        <family val="2"/>
        <scheme val="minor"/>
      </rPr>
      <t xml:space="preserve">Note: </t>
    </r>
    <r>
      <rPr>
        <i/>
        <sz val="12"/>
        <color theme="1"/>
        <rFont val="Calibri"/>
        <family val="2"/>
        <scheme val="minor"/>
      </rPr>
      <t xml:space="preserve">Kindly check if your section have demand/forecast to PE P&amp;J materials, if "NONE" please check BPS excess items </t>
    </r>
  </si>
  <si>
    <t xml:space="preserve">Repair/Modification Details:
</t>
  </si>
  <si>
    <r>
      <t xml:space="preserve">Link: </t>
    </r>
    <r>
      <rPr>
        <i/>
        <sz val="12"/>
        <color theme="1"/>
        <rFont val="Calibri"/>
        <family val="2"/>
        <scheme val="minor"/>
      </rPr>
      <t>\\apbiphsh04\B1_BIPHCommon\19_BPS\34_BPS fabrication Group\00_BPS Excess Item</t>
    </r>
  </si>
  <si>
    <t xml:space="preserve">           if can accommodate your needed quantity. If "yes" proceed making request, if "not" cancel the request.</t>
  </si>
  <si>
    <t>REC0802-110-01</t>
  </si>
  <si>
    <t>Provide Layout here (please use centimeter "cm")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</si>
</sst>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50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sz val="24"/>
      <color theme="1"/>
      <name val="Meiryo UI"/>
      <family val="2"/>
    </font>
    <font>
      <sz val="12"/>
      <color theme="1"/>
      <name val="Meiryo UI"/>
      <family val="2"/>
    </font>
    <font>
      <b/>
      <sz val="10"/>
      <color theme="1"/>
      <name val="Arial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1"/>
      <color theme="1"/>
      <name val="Cambria"/>
      <family val="1"/>
      <scheme val="major"/>
    </font>
    <font>
      <b/>
      <sz val="22"/>
      <color theme="1"/>
      <name val="Cambria"/>
      <family val="1"/>
      <scheme val="major"/>
    </font>
    <font>
      <b/>
      <sz val="12"/>
      <color theme="1"/>
      <name val="Cambria"/>
      <family val="1"/>
      <scheme val="major"/>
    </font>
    <font>
      <b/>
      <sz val="16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b/>
      <sz val="9"/>
      <color theme="1"/>
      <name val="Calibri"/>
      <family val="2"/>
    </font>
    <font>
      <b/>
      <sz val="72"/>
      <color theme="1"/>
      <name val="Cambria"/>
      <family val="1"/>
      <scheme val="major"/>
    </font>
    <font>
      <b/>
      <sz val="22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2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0000CC"/>
      <name val="Arial"/>
      <family val="2"/>
    </font>
    <font>
      <sz val="10"/>
      <color rgb="FFFF0000"/>
      <name val="Arial"/>
      <family val="2"/>
    </font>
    <font>
      <sz val="8"/>
      <color rgb="FF000000"/>
      <name val="Tahoma"/>
      <family val="2"/>
    </font>
    <font>
      <sz val="12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i/>
      <sz val="1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i/>
      <sz val="12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8"/>
      <color theme="0" tint="-0.34998626667073579"/>
      <name val="Calibri"/>
      <family val="2"/>
      <scheme val="minor"/>
    </font>
    <font>
      <sz val="10"/>
      <name val="Calibri"/>
      <family val="2"/>
      <scheme val="minor"/>
    </font>
    <font>
      <i/>
      <sz val="10"/>
      <color rgb="FF00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i/>
      <sz val="9"/>
      <color theme="0" tint="-0.499984740745262"/>
      <name val="Calibri"/>
      <family val="2"/>
      <scheme val="minor"/>
    </font>
    <font>
      <sz val="11"/>
      <color rgb="FF000000"/>
      <name val="Centaur"/>
      <family val="1"/>
    </font>
    <font>
      <b/>
      <sz val="11"/>
      <color rgb="FF000000"/>
      <name val="Centaur"/>
      <family val="1"/>
    </font>
    <font>
      <b/>
      <i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CCFF"/>
        <bgColor indexed="64"/>
      </patternFill>
    </fill>
  </fills>
  <borders count="8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ashed">
        <color indexed="64"/>
      </top>
      <bottom style="thin">
        <color indexed="64"/>
      </bottom>
      <diagonal/>
    </border>
    <border>
      <left/>
      <right/>
      <top style="dashed">
        <color indexed="64"/>
      </top>
      <bottom style="thin">
        <color indexed="64"/>
      </bottom>
      <diagonal/>
    </border>
    <border>
      <left/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dashed">
        <color indexed="64"/>
      </left>
      <right/>
      <top style="thin">
        <color indexed="64"/>
      </top>
      <bottom/>
      <diagonal/>
    </border>
    <border>
      <left style="dashed">
        <color indexed="64"/>
      </left>
      <right/>
      <top/>
      <bottom/>
      <diagonal/>
    </border>
    <border>
      <left style="dashed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6" fillId="0" borderId="0"/>
    <xf numFmtId="0" fontId="7" fillId="0" borderId="0"/>
  </cellStyleXfs>
  <cellXfs count="692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 applyBorder="1"/>
    <xf numFmtId="0" fontId="3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vertical="center" wrapText="1"/>
    </xf>
    <xf numFmtId="0" fontId="5" fillId="2" borderId="10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2" fillId="2" borderId="1" xfId="0" applyFont="1" applyFill="1" applyBorder="1"/>
    <xf numFmtId="0" fontId="2" fillId="2" borderId="6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/>
    <xf numFmtId="0" fontId="2" fillId="2" borderId="11" xfId="0" applyFont="1" applyFill="1" applyBorder="1"/>
    <xf numFmtId="0" fontId="2" fillId="2" borderId="12" xfId="0" applyFont="1" applyFill="1" applyBorder="1"/>
    <xf numFmtId="0" fontId="2" fillId="2" borderId="14" xfId="0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5" fillId="2" borderId="0" xfId="0" applyFont="1" applyFill="1"/>
    <xf numFmtId="0" fontId="18" fillId="2" borderId="0" xfId="0" applyFont="1" applyFill="1"/>
    <xf numFmtId="0" fontId="15" fillId="2" borderId="0" xfId="0" applyFont="1" applyFill="1" applyAlignment="1">
      <alignment horizontal="left" vertical="center"/>
    </xf>
    <xf numFmtId="0" fontId="1" fillId="2" borderId="0" xfId="0" applyFont="1" applyFill="1" applyAlignment="1">
      <alignment vertical="center"/>
    </xf>
    <xf numFmtId="0" fontId="18" fillId="5" borderId="2" xfId="0" applyFont="1" applyFill="1" applyBorder="1" applyAlignment="1">
      <alignment horizontal="center"/>
    </xf>
    <xf numFmtId="0" fontId="19" fillId="5" borderId="2" xfId="0" applyFont="1" applyFill="1" applyBorder="1" applyAlignment="1">
      <alignment horizontal="center"/>
    </xf>
    <xf numFmtId="0" fontId="18" fillId="4" borderId="2" xfId="0" applyFont="1" applyFill="1" applyBorder="1" applyAlignment="1">
      <alignment horizontal="center" vertical="center"/>
    </xf>
    <xf numFmtId="0" fontId="18" fillId="4" borderId="2" xfId="0" applyFont="1" applyFill="1" applyBorder="1"/>
    <xf numFmtId="0" fontId="9" fillId="0" borderId="0" xfId="0" applyFont="1" applyAlignment="1">
      <alignment horizontal="center" vertical="center"/>
    </xf>
    <xf numFmtId="0" fontId="8" fillId="0" borderId="21" xfId="0" applyFont="1" applyBorder="1" applyAlignment="1"/>
    <xf numFmtId="0" fontId="8" fillId="0" borderId="22" xfId="0" applyFont="1" applyBorder="1" applyAlignment="1"/>
    <xf numFmtId="0" fontId="8" fillId="0" borderId="23" xfId="0" applyFont="1" applyBorder="1" applyAlignment="1"/>
    <xf numFmtId="0" fontId="8" fillId="0" borderId="24" xfId="0" applyFont="1" applyBorder="1" applyAlignment="1"/>
    <xf numFmtId="0" fontId="8" fillId="0" borderId="0" xfId="0" applyFont="1" applyBorder="1" applyAlignment="1"/>
    <xf numFmtId="0" fontId="8" fillId="0" borderId="25" xfId="0" applyFont="1" applyBorder="1" applyAlignment="1"/>
    <xf numFmtId="0" fontId="0" fillId="0" borderId="41" xfId="0" applyBorder="1" applyAlignment="1">
      <alignment horizontal="center" vertical="center"/>
    </xf>
    <xf numFmtId="2" fontId="0" fillId="0" borderId="30" xfId="0" applyNumberFormat="1" applyBorder="1" applyAlignment="1">
      <alignment horizontal="center"/>
    </xf>
    <xf numFmtId="0" fontId="0" fillId="0" borderId="43" xfId="0" applyBorder="1" applyAlignment="1">
      <alignment horizontal="left" vertical="center"/>
    </xf>
    <xf numFmtId="0" fontId="0" fillId="0" borderId="44" xfId="0" applyBorder="1" applyAlignment="1">
      <alignment horizontal="left" vertical="center"/>
    </xf>
    <xf numFmtId="0" fontId="0" fillId="0" borderId="44" xfId="0" applyBorder="1" applyAlignment="1">
      <alignment horizontal="center" vertical="center"/>
    </xf>
    <xf numFmtId="2" fontId="0" fillId="0" borderId="47" xfId="0" applyNumberFormat="1" applyBorder="1" applyAlignment="1">
      <alignment horizontal="center"/>
    </xf>
    <xf numFmtId="0" fontId="12" fillId="0" borderId="4" xfId="0" applyFont="1" applyFill="1" applyBorder="1" applyAlignment="1">
      <alignment horizontal="center" vertical="center" wrapText="1"/>
    </xf>
    <xf numFmtId="0" fontId="0" fillId="0" borderId="49" xfId="0" applyFont="1" applyFill="1" applyBorder="1" applyAlignment="1">
      <alignment horizontal="center" vertical="center" wrapText="1"/>
    </xf>
    <xf numFmtId="0" fontId="0" fillId="0" borderId="4" xfId="0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2" xfId="0" applyBorder="1" applyAlignment="1">
      <alignment horizontal="center"/>
    </xf>
    <xf numFmtId="0" fontId="0" fillId="0" borderId="4" xfId="0" applyBorder="1" applyAlignment="1">
      <alignment horizontal="center"/>
    </xf>
    <xf numFmtId="2" fontId="0" fillId="0" borderId="49" xfId="0" applyNumberFormat="1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8" xfId="0" applyBorder="1" applyAlignment="1">
      <alignment horizontal="center"/>
    </xf>
    <xf numFmtId="2" fontId="0" fillId="0" borderId="37" xfId="0" applyNumberFormat="1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37" xfId="0" applyBorder="1" applyAlignment="1">
      <alignment horizontal="center"/>
    </xf>
    <xf numFmtId="2" fontId="0" fillId="0" borderId="32" xfId="0" applyNumberFormat="1" applyBorder="1" applyAlignment="1">
      <alignment horizontal="center"/>
    </xf>
    <xf numFmtId="0" fontId="0" fillId="0" borderId="60" xfId="0" applyBorder="1" applyAlignment="1">
      <alignment horizontal="center"/>
    </xf>
    <xf numFmtId="0" fontId="0" fillId="0" borderId="35" xfId="0" applyBorder="1" applyAlignment="1">
      <alignment horizontal="center"/>
    </xf>
    <xf numFmtId="2" fontId="23" fillId="0" borderId="19" xfId="0" applyNumberFormat="1" applyFont="1" applyBorder="1" applyAlignment="1">
      <alignment horizontal="center" vertical="center"/>
    </xf>
    <xf numFmtId="0" fontId="8" fillId="3" borderId="25" xfId="0" applyFont="1" applyFill="1" applyBorder="1" applyAlignment="1"/>
    <xf numFmtId="0" fontId="0" fillId="0" borderId="47" xfId="0" applyBorder="1" applyAlignment="1">
      <alignment horizontal="center"/>
    </xf>
    <xf numFmtId="2" fontId="0" fillId="0" borderId="12" xfId="0" applyNumberFormat="1" applyBorder="1" applyAlignment="1">
      <alignment horizontal="center"/>
    </xf>
    <xf numFmtId="0" fontId="0" fillId="0" borderId="30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2" fontId="0" fillId="0" borderId="60" xfId="0" applyNumberFormat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2" fontId="0" fillId="0" borderId="35" xfId="0" applyNumberFormat="1" applyBorder="1" applyAlignment="1">
      <alignment horizontal="center"/>
    </xf>
    <xf numFmtId="0" fontId="8" fillId="3" borderId="0" xfId="0" applyFont="1" applyFill="1" applyBorder="1" applyAlignment="1"/>
    <xf numFmtId="0" fontId="0" fillId="0" borderId="3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2" fontId="0" fillId="0" borderId="39" xfId="0" applyNumberFormat="1" applyBorder="1" applyAlignment="1">
      <alignment horizontal="center"/>
    </xf>
    <xf numFmtId="2" fontId="0" fillId="0" borderId="44" xfId="0" applyNumberFormat="1" applyBorder="1" applyAlignment="1">
      <alignment horizontal="center"/>
    </xf>
    <xf numFmtId="164" fontId="23" fillId="0" borderId="19" xfId="0" applyNumberFormat="1" applyFont="1" applyBorder="1" applyAlignment="1">
      <alignment horizontal="center" vertical="center"/>
    </xf>
    <xf numFmtId="0" fontId="0" fillId="0" borderId="49" xfId="0" applyBorder="1" applyAlignment="1">
      <alignment vertical="center"/>
    </xf>
    <xf numFmtId="0" fontId="0" fillId="0" borderId="35" xfId="0" applyBorder="1" applyAlignment="1">
      <alignment vertical="center"/>
    </xf>
    <xf numFmtId="165" fontId="0" fillId="0" borderId="35" xfId="0" applyNumberFormat="1" applyBorder="1" applyAlignment="1">
      <alignment horizontal="center"/>
    </xf>
    <xf numFmtId="0" fontId="24" fillId="2" borderId="0" xfId="0" applyFont="1" applyFill="1"/>
    <xf numFmtId="0" fontId="0" fillId="2" borderId="0" xfId="0" applyFill="1" applyAlignment="1">
      <alignment horizontal="left"/>
    </xf>
    <xf numFmtId="0" fontId="15" fillId="2" borderId="0" xfId="0" applyFont="1" applyFill="1" applyAlignment="1">
      <alignment horizontal="left"/>
    </xf>
    <xf numFmtId="0" fontId="1" fillId="2" borderId="0" xfId="0" applyFont="1" applyFill="1" applyBorder="1" applyAlignment="1">
      <alignment vertical="center" textRotation="90"/>
    </xf>
    <xf numFmtId="0" fontId="2" fillId="2" borderId="1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left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27" fillId="2" borderId="0" xfId="0" applyFont="1" applyFill="1" applyBorder="1" applyAlignment="1">
      <alignment horizontal="center" vertical="center" wrapText="1"/>
    </xf>
    <xf numFmtId="0" fontId="15" fillId="2" borderId="0" xfId="0" applyFont="1" applyFill="1" applyBorder="1" applyAlignment="1">
      <alignment vertical="center"/>
    </xf>
    <xf numFmtId="0" fontId="15" fillId="2" borderId="0" xfId="0" applyFont="1" applyFill="1" applyBorder="1" applyAlignment="1">
      <alignment vertical="center" wrapText="1"/>
    </xf>
    <xf numFmtId="0" fontId="30" fillId="0" borderId="0" xfId="0" applyFont="1" applyAlignment="1">
      <alignment vertical="center"/>
    </xf>
    <xf numFmtId="0" fontId="30" fillId="0" borderId="0" xfId="0" applyFont="1" applyFill="1" applyBorder="1" applyAlignment="1">
      <alignment horizontal="center" vertical="center" wrapText="1"/>
    </xf>
    <xf numFmtId="0" fontId="30" fillId="0" borderId="0" xfId="0" applyFont="1" applyFill="1" applyBorder="1" applyAlignment="1">
      <alignment vertical="center"/>
    </xf>
    <xf numFmtId="0" fontId="30" fillId="0" borderId="0" xfId="0" applyFont="1" applyFill="1" applyBorder="1" applyAlignment="1">
      <alignment horizontal="center" vertical="center"/>
    </xf>
    <xf numFmtId="0" fontId="30" fillId="0" borderId="21" xfId="0" applyFont="1" applyFill="1" applyBorder="1" applyAlignment="1">
      <alignment vertical="center"/>
    </xf>
    <xf numFmtId="0" fontId="31" fillId="0" borderId="22" xfId="0" applyFont="1" applyFill="1" applyBorder="1" applyAlignment="1">
      <alignment vertical="center"/>
    </xf>
    <xf numFmtId="0" fontId="30" fillId="0" borderId="23" xfId="0" applyFont="1" applyFill="1" applyBorder="1" applyAlignment="1">
      <alignment vertical="center"/>
    </xf>
    <xf numFmtId="0" fontId="15" fillId="0" borderId="24" xfId="0" applyFont="1" applyFill="1" applyBorder="1" applyAlignment="1">
      <alignment horizontal="center" vertical="center"/>
    </xf>
    <xf numFmtId="0" fontId="15" fillId="0" borderId="25" xfId="0" applyFont="1" applyBorder="1" applyAlignment="1">
      <alignment vertical="center"/>
    </xf>
    <xf numFmtId="0" fontId="15" fillId="0" borderId="0" xfId="0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0" fillId="0" borderId="24" xfId="0" applyFont="1" applyFill="1" applyBorder="1" applyAlignment="1">
      <alignment horizontal="center" vertical="center"/>
    </xf>
    <xf numFmtId="0" fontId="0" fillId="0" borderId="25" xfId="0" applyFont="1" applyBorder="1" applyAlignment="1">
      <alignment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Font="1" applyAlignment="1">
      <alignment vertical="center"/>
    </xf>
    <xf numFmtId="0" fontId="30" fillId="0" borderId="24" xfId="0" applyFont="1" applyFill="1" applyBorder="1" applyAlignment="1">
      <alignment horizontal="center" vertical="center"/>
    </xf>
    <xf numFmtId="0" fontId="30" fillId="0" borderId="25" xfId="0" applyFont="1" applyFill="1" applyBorder="1" applyAlignment="1">
      <alignment horizontal="center" vertical="center"/>
    </xf>
    <xf numFmtId="0" fontId="30" fillId="0" borderId="25" xfId="0" applyFont="1" applyBorder="1" applyAlignment="1">
      <alignment vertical="center"/>
    </xf>
    <xf numFmtId="0" fontId="30" fillId="0" borderId="0" xfId="0" applyFont="1" applyAlignment="1">
      <alignment vertical="center" wrapText="1"/>
    </xf>
    <xf numFmtId="0" fontId="33" fillId="0" borderId="25" xfId="0" applyFont="1" applyFill="1" applyBorder="1" applyAlignment="1">
      <alignment horizontal="left" vertical="center"/>
    </xf>
    <xf numFmtId="0" fontId="1" fillId="0" borderId="24" xfId="0" applyFont="1" applyFill="1" applyBorder="1" applyAlignment="1">
      <alignment vertical="center"/>
    </xf>
    <xf numFmtId="0" fontId="35" fillId="0" borderId="25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30" fillId="0" borderId="24" xfId="0" applyFont="1" applyFill="1" applyBorder="1" applyAlignment="1">
      <alignment vertical="center"/>
    </xf>
    <xf numFmtId="0" fontId="30" fillId="0" borderId="25" xfId="0" applyFont="1" applyFill="1" applyBorder="1" applyAlignment="1">
      <alignment vertical="center"/>
    </xf>
    <xf numFmtId="0" fontId="36" fillId="0" borderId="24" xfId="0" applyFont="1" applyFill="1" applyBorder="1" applyAlignment="1"/>
    <xf numFmtId="0" fontId="36" fillId="0" borderId="25" xfId="0" applyFont="1" applyFill="1" applyBorder="1" applyAlignment="1"/>
    <xf numFmtId="0" fontId="36" fillId="0" borderId="0" xfId="0" applyFont="1" applyAlignment="1"/>
    <xf numFmtId="0" fontId="30" fillId="0" borderId="0" xfId="0" applyFont="1" applyFill="1" applyAlignment="1">
      <alignment vertical="center"/>
    </xf>
    <xf numFmtId="0" fontId="30" fillId="0" borderId="22" xfId="0" applyFont="1" applyFill="1" applyBorder="1" applyAlignment="1">
      <alignment horizontal="center" vertical="center"/>
    </xf>
    <xf numFmtId="0" fontId="30" fillId="0" borderId="22" xfId="0" applyFont="1" applyFill="1" applyBorder="1" applyAlignment="1">
      <alignment horizontal="center" vertical="center" wrapText="1"/>
    </xf>
    <xf numFmtId="0" fontId="33" fillId="0" borderId="22" xfId="0" applyFont="1" applyFill="1" applyBorder="1" applyAlignment="1">
      <alignment vertical="center"/>
    </xf>
    <xf numFmtId="0" fontId="30" fillId="0" borderId="22" xfId="0" applyFont="1" applyFill="1" applyBorder="1" applyAlignment="1">
      <alignment vertical="center"/>
    </xf>
    <xf numFmtId="14" fontId="30" fillId="0" borderId="0" xfId="0" applyNumberFormat="1" applyFont="1" applyFill="1" applyBorder="1" applyAlignment="1">
      <alignment horizontal="center" vertical="center" wrapText="1"/>
    </xf>
    <xf numFmtId="0" fontId="30" fillId="0" borderId="0" xfId="0" applyFont="1" applyBorder="1" applyAlignment="1">
      <alignment vertical="center"/>
    </xf>
    <xf numFmtId="0" fontId="30" fillId="0" borderId="0" xfId="0" applyFont="1" applyBorder="1" applyAlignment="1">
      <alignment horizontal="center" vertical="center"/>
    </xf>
    <xf numFmtId="0" fontId="30" fillId="0" borderId="24" xfId="0" applyFont="1" applyBorder="1" applyAlignment="1">
      <alignment vertical="center"/>
    </xf>
    <xf numFmtId="0" fontId="30" fillId="0" borderId="26" xfId="0" applyFont="1" applyFill="1" applyBorder="1" applyAlignment="1">
      <alignment vertical="center"/>
    </xf>
    <xf numFmtId="15" fontId="37" fillId="0" borderId="0" xfId="0" applyNumberFormat="1" applyFont="1" applyFill="1" applyBorder="1" applyAlignment="1">
      <alignment vertical="center"/>
    </xf>
    <xf numFmtId="0" fontId="38" fillId="0" borderId="0" xfId="0" applyFont="1" applyFill="1" applyBorder="1" applyAlignment="1">
      <alignment vertical="center"/>
    </xf>
    <xf numFmtId="0" fontId="38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 wrapText="1"/>
    </xf>
    <xf numFmtId="0" fontId="35" fillId="0" borderId="0" xfId="0" applyFont="1" applyFill="1" applyBorder="1" applyAlignment="1">
      <alignment vertical="center"/>
    </xf>
    <xf numFmtId="0" fontId="35" fillId="0" borderId="7" xfId="0" applyFont="1" applyBorder="1" applyAlignment="1">
      <alignment vertical="top"/>
    </xf>
    <xf numFmtId="0" fontId="35" fillId="0" borderId="8" xfId="0" applyFont="1" applyBorder="1" applyAlignment="1">
      <alignment vertical="top"/>
    </xf>
    <xf numFmtId="0" fontId="35" fillId="0" borderId="6" xfId="0" applyFont="1" applyBorder="1" applyAlignment="1">
      <alignment vertical="top"/>
    </xf>
    <xf numFmtId="0" fontId="35" fillId="0" borderId="0" xfId="0" applyFont="1" applyBorder="1" applyAlignment="1">
      <alignment vertical="top"/>
    </xf>
    <xf numFmtId="0" fontId="35" fillId="0" borderId="11" xfId="0" applyFont="1" applyBorder="1" applyAlignment="1">
      <alignment vertical="top"/>
    </xf>
    <xf numFmtId="0" fontId="35" fillId="0" borderId="12" xfId="0" applyFont="1" applyBorder="1" applyAlignment="1">
      <alignment vertical="top"/>
    </xf>
    <xf numFmtId="0" fontId="34" fillId="0" borderId="0" xfId="0" applyFont="1" applyBorder="1" applyAlignment="1">
      <alignment vertical="top" wrapText="1"/>
    </xf>
    <xf numFmtId="0" fontId="34" fillId="0" borderId="12" xfId="0" applyFont="1" applyBorder="1" applyAlignment="1">
      <alignment vertical="top" wrapText="1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left" vertical="center"/>
    </xf>
    <xf numFmtId="0" fontId="42" fillId="0" borderId="0" xfId="0" applyFont="1" applyFill="1" applyBorder="1" applyAlignment="1">
      <alignment vertical="center"/>
    </xf>
    <xf numFmtId="0" fontId="35" fillId="0" borderId="0" xfId="0" applyFont="1" applyFill="1" applyAlignment="1">
      <alignment vertical="center"/>
    </xf>
    <xf numFmtId="0" fontId="42" fillId="0" borderId="0" xfId="0" applyFont="1" applyFill="1" applyBorder="1" applyAlignment="1">
      <alignment vertical="top"/>
    </xf>
    <xf numFmtId="0" fontId="16" fillId="0" borderId="0" xfId="0" applyFont="1" applyFill="1" applyBorder="1" applyAlignment="1">
      <alignment horizontal="left" vertical="center"/>
    </xf>
    <xf numFmtId="0" fontId="32" fillId="0" borderId="0" xfId="0" applyFont="1" applyFill="1" applyBorder="1" applyAlignment="1">
      <alignment vertical="center"/>
    </xf>
    <xf numFmtId="0" fontId="30" fillId="0" borderId="0" xfId="0" applyFont="1" applyFill="1" applyAlignment="1">
      <alignment vertical="top"/>
    </xf>
    <xf numFmtId="0" fontId="17" fillId="0" borderId="8" xfId="0" applyFont="1" applyFill="1" applyBorder="1" applyAlignment="1">
      <alignment vertical="center"/>
    </xf>
    <xf numFmtId="0" fontId="17" fillId="0" borderId="9" xfId="0" applyFont="1" applyFill="1" applyBorder="1" applyAlignment="1">
      <alignment vertical="center"/>
    </xf>
    <xf numFmtId="0" fontId="17" fillId="0" borderId="0" xfId="0" applyFont="1" applyFill="1" applyBorder="1" applyAlignment="1">
      <alignment vertical="center"/>
    </xf>
    <xf numFmtId="0" fontId="17" fillId="0" borderId="1" xfId="0" applyFont="1" applyFill="1" applyBorder="1" applyAlignment="1">
      <alignment vertical="center"/>
    </xf>
    <xf numFmtId="0" fontId="34" fillId="0" borderId="11" xfId="0" applyFont="1" applyBorder="1" applyAlignment="1">
      <alignment horizontal="center" vertical="center" wrapText="1"/>
    </xf>
    <xf numFmtId="0" fontId="34" fillId="0" borderId="12" xfId="0" applyFont="1" applyBorder="1" applyAlignment="1">
      <alignment horizontal="center" vertical="center" wrapText="1"/>
    </xf>
    <xf numFmtId="0" fontId="34" fillId="0" borderId="13" xfId="0" applyFont="1" applyBorder="1" applyAlignment="1">
      <alignment horizontal="center" vertical="center" wrapText="1"/>
    </xf>
    <xf numFmtId="15" fontId="37" fillId="0" borderId="24" xfId="0" applyNumberFormat="1" applyFont="1" applyFill="1" applyBorder="1" applyAlignment="1">
      <alignment vertical="center" wrapText="1"/>
    </xf>
    <xf numFmtId="15" fontId="37" fillId="0" borderId="0" xfId="0" applyNumberFormat="1" applyFont="1" applyFill="1" applyBorder="1" applyAlignment="1">
      <alignment vertical="center" wrapText="1"/>
    </xf>
    <xf numFmtId="15" fontId="37" fillId="0" borderId="25" xfId="0" applyNumberFormat="1" applyFont="1" applyFill="1" applyBorder="1" applyAlignment="1">
      <alignment vertical="center" wrapText="1"/>
    </xf>
    <xf numFmtId="15" fontId="37" fillId="0" borderId="26" xfId="0" applyNumberFormat="1" applyFont="1" applyFill="1" applyBorder="1" applyAlignment="1">
      <alignment vertical="center" wrapText="1"/>
    </xf>
    <xf numFmtId="15" fontId="37" fillId="0" borderId="20" xfId="0" applyNumberFormat="1" applyFont="1" applyFill="1" applyBorder="1" applyAlignment="1">
      <alignment vertical="center" wrapText="1"/>
    </xf>
    <xf numFmtId="15" fontId="37" fillId="0" borderId="27" xfId="0" applyNumberFormat="1" applyFont="1" applyFill="1" applyBorder="1" applyAlignment="1">
      <alignment vertical="center" wrapText="1"/>
    </xf>
    <xf numFmtId="0" fontId="14" fillId="2" borderId="0" xfId="0" applyFont="1" applyFill="1" applyAlignment="1">
      <alignment horizontal="center" vertical="center"/>
    </xf>
    <xf numFmtId="0" fontId="15" fillId="5" borderId="2" xfId="0" applyFont="1" applyFill="1" applyBorder="1" applyAlignment="1">
      <alignment horizontal="center" vertical="center"/>
    </xf>
    <xf numFmtId="0" fontId="15" fillId="5" borderId="2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8" fillId="4" borderId="2" xfId="0" applyFont="1" applyFill="1" applyBorder="1" applyAlignment="1">
      <alignment horizontal="center"/>
    </xf>
    <xf numFmtId="0" fontId="18" fillId="4" borderId="15" xfId="0" applyFont="1" applyFill="1" applyBorder="1" applyAlignment="1">
      <alignment horizontal="center" vertical="center" wrapText="1"/>
    </xf>
    <xf numFmtId="0" fontId="18" fillId="4" borderId="14" xfId="0" applyFont="1" applyFill="1" applyBorder="1" applyAlignment="1">
      <alignment horizontal="center" vertical="center" wrapText="1"/>
    </xf>
    <xf numFmtId="0" fontId="18" fillId="5" borderId="2" xfId="0" applyFont="1" applyFill="1" applyBorder="1" applyAlignment="1">
      <alignment horizontal="left" wrapText="1"/>
    </xf>
    <xf numFmtId="0" fontId="18" fillId="5" borderId="2" xfId="0" applyFont="1" applyFill="1" applyBorder="1" applyAlignment="1">
      <alignment horizontal="left"/>
    </xf>
    <xf numFmtId="0" fontId="18" fillId="5" borderId="2" xfId="0" applyFont="1" applyFill="1" applyBorder="1" applyAlignment="1">
      <alignment horizontal="center"/>
    </xf>
    <xf numFmtId="0" fontId="17" fillId="5" borderId="15" xfId="0" applyFont="1" applyFill="1" applyBorder="1" applyAlignment="1">
      <alignment horizontal="center" vertical="center"/>
    </xf>
    <xf numFmtId="0" fontId="17" fillId="5" borderId="14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/>
    </xf>
    <xf numFmtId="0" fontId="18" fillId="4" borderId="2" xfId="0" applyFont="1" applyFill="1" applyBorder="1" applyAlignment="1">
      <alignment horizontal="center" vertical="center" wrapText="1"/>
    </xf>
    <xf numFmtId="0" fontId="18" fillId="4" borderId="2" xfId="0" applyFont="1" applyFill="1" applyBorder="1" applyAlignment="1">
      <alignment horizontal="center" vertical="center"/>
    </xf>
    <xf numFmtId="0" fontId="18" fillId="5" borderId="2" xfId="0" applyFont="1" applyFill="1" applyBorder="1" applyAlignment="1">
      <alignment horizontal="center" vertical="center"/>
    </xf>
    <xf numFmtId="0" fontId="18" fillId="5" borderId="2" xfId="0" applyFont="1" applyFill="1" applyBorder="1" applyAlignment="1">
      <alignment horizontal="left" vertical="center" wrapText="1"/>
    </xf>
    <xf numFmtId="0" fontId="18" fillId="5" borderId="2" xfId="0" applyFont="1" applyFill="1" applyBorder="1" applyAlignment="1">
      <alignment horizontal="left" vertical="center"/>
    </xf>
    <xf numFmtId="0" fontId="18" fillId="5" borderId="2" xfId="0" applyFont="1" applyFill="1" applyBorder="1" applyAlignment="1">
      <alignment horizontal="center" vertical="center" textRotation="90"/>
    </xf>
    <xf numFmtId="0" fontId="15" fillId="5" borderId="7" xfId="0" applyFont="1" applyFill="1" applyBorder="1" applyAlignment="1">
      <alignment horizontal="left" vertical="center"/>
    </xf>
    <xf numFmtId="0" fontId="15" fillId="5" borderId="8" xfId="0" applyFont="1" applyFill="1" applyBorder="1" applyAlignment="1">
      <alignment horizontal="left" vertical="center"/>
    </xf>
    <xf numFmtId="0" fontId="15" fillId="5" borderId="9" xfId="0" applyFont="1" applyFill="1" applyBorder="1" applyAlignment="1">
      <alignment horizontal="left" vertical="center"/>
    </xf>
    <xf numFmtId="0" fontId="15" fillId="5" borderId="11" xfId="0" applyFont="1" applyFill="1" applyBorder="1" applyAlignment="1">
      <alignment horizontal="left" vertical="center"/>
    </xf>
    <xf numFmtId="0" fontId="15" fillId="5" borderId="12" xfId="0" applyFont="1" applyFill="1" applyBorder="1" applyAlignment="1">
      <alignment horizontal="left" vertical="center"/>
    </xf>
    <xf numFmtId="0" fontId="15" fillId="5" borderId="13" xfId="0" applyFont="1" applyFill="1" applyBorder="1" applyAlignment="1">
      <alignment horizontal="left" vertical="center"/>
    </xf>
    <xf numFmtId="0" fontId="1" fillId="5" borderId="2" xfId="0" applyFont="1" applyFill="1" applyBorder="1" applyAlignment="1">
      <alignment horizontal="center" vertical="center"/>
    </xf>
    <xf numFmtId="14" fontId="18" fillId="5" borderId="2" xfId="0" applyNumberFormat="1" applyFont="1" applyFill="1" applyBorder="1" applyAlignment="1">
      <alignment horizontal="center" vertical="center"/>
    </xf>
    <xf numFmtId="0" fontId="18" fillId="4" borderId="15" xfId="0" applyFont="1" applyFill="1" applyBorder="1" applyAlignment="1">
      <alignment horizontal="center" vertical="center" textRotation="90"/>
    </xf>
    <xf numFmtId="0" fontId="18" fillId="4" borderId="10" xfId="0" applyFont="1" applyFill="1" applyBorder="1" applyAlignment="1">
      <alignment horizontal="center" vertical="center" textRotation="90"/>
    </xf>
    <xf numFmtId="0" fontId="18" fillId="4" borderId="14" xfId="0" applyFont="1" applyFill="1" applyBorder="1" applyAlignment="1">
      <alignment horizontal="center" vertical="center" textRotation="90"/>
    </xf>
    <xf numFmtId="0" fontId="18" fillId="4" borderId="2" xfId="0" applyFont="1" applyFill="1" applyBorder="1" applyAlignment="1">
      <alignment horizontal="left" vertical="center" wrapText="1"/>
    </xf>
    <xf numFmtId="0" fontId="18" fillId="4" borderId="2" xfId="0" applyFont="1" applyFill="1" applyBorder="1" applyAlignment="1">
      <alignment horizontal="left" vertical="center"/>
    </xf>
    <xf numFmtId="17" fontId="18" fillId="5" borderId="2" xfId="0" applyNumberFormat="1" applyFont="1" applyFill="1" applyBorder="1" applyAlignment="1">
      <alignment horizontal="center" vertical="center"/>
    </xf>
    <xf numFmtId="14" fontId="18" fillId="4" borderId="2" xfId="0" applyNumberFormat="1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horizontal="left" vertical="top"/>
    </xf>
    <xf numFmtId="0" fontId="15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18" fillId="4" borderId="15" xfId="0" applyFont="1" applyFill="1" applyBorder="1" applyAlignment="1">
      <alignment horizontal="center" vertical="center"/>
    </xf>
    <xf numFmtId="0" fontId="18" fillId="4" borderId="14" xfId="0" applyFont="1" applyFill="1" applyBorder="1" applyAlignment="1">
      <alignment horizontal="center" vertical="center"/>
    </xf>
    <xf numFmtId="0" fontId="18" fillId="4" borderId="7" xfId="0" applyFont="1" applyFill="1" applyBorder="1" applyAlignment="1">
      <alignment horizontal="center" vertical="center"/>
    </xf>
    <xf numFmtId="0" fontId="18" fillId="4" borderId="8" xfId="0" applyFont="1" applyFill="1" applyBorder="1" applyAlignment="1">
      <alignment horizontal="center" vertical="center"/>
    </xf>
    <xf numFmtId="0" fontId="18" fillId="4" borderId="9" xfId="0" applyFont="1" applyFill="1" applyBorder="1" applyAlignment="1">
      <alignment horizontal="center" vertical="center"/>
    </xf>
    <xf numFmtId="0" fontId="18" fillId="4" borderId="11" xfId="0" applyFont="1" applyFill="1" applyBorder="1" applyAlignment="1">
      <alignment horizontal="center" vertical="center"/>
    </xf>
    <xf numFmtId="0" fontId="18" fillId="4" borderId="12" xfId="0" applyFont="1" applyFill="1" applyBorder="1" applyAlignment="1">
      <alignment horizontal="center" vertical="center"/>
    </xf>
    <xf numFmtId="0" fontId="18" fillId="4" borderId="13" xfId="0" applyFont="1" applyFill="1" applyBorder="1" applyAlignment="1">
      <alignment horizontal="center" vertical="center"/>
    </xf>
    <xf numFmtId="0" fontId="13" fillId="5" borderId="7" xfId="0" applyFont="1" applyFill="1" applyBorder="1" applyAlignment="1">
      <alignment horizontal="center" vertical="center"/>
    </xf>
    <xf numFmtId="0" fontId="13" fillId="5" borderId="9" xfId="0" applyFont="1" applyFill="1" applyBorder="1" applyAlignment="1">
      <alignment horizontal="center" vertical="center"/>
    </xf>
    <xf numFmtId="0" fontId="13" fillId="5" borderId="11" xfId="0" applyFont="1" applyFill="1" applyBorder="1" applyAlignment="1">
      <alignment horizontal="center" vertical="center"/>
    </xf>
    <xf numFmtId="0" fontId="13" fillId="5" borderId="13" xfId="0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/>
    </xf>
    <xf numFmtId="0" fontId="8" fillId="0" borderId="22" xfId="0" applyFont="1" applyBorder="1" applyAlignment="1">
      <alignment horizontal="center"/>
    </xf>
    <xf numFmtId="0" fontId="8" fillId="0" borderId="23" xfId="0" applyFont="1" applyBorder="1" applyAlignment="1">
      <alignment horizontal="center"/>
    </xf>
    <xf numFmtId="0" fontId="8" fillId="0" borderId="24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8" fillId="0" borderId="25" xfId="0" applyFont="1" applyBorder="1" applyAlignment="1">
      <alignment horizontal="center"/>
    </xf>
    <xf numFmtId="0" fontId="8" fillId="0" borderId="26" xfId="0" applyFont="1" applyBorder="1" applyAlignment="1">
      <alignment horizontal="center"/>
    </xf>
    <xf numFmtId="0" fontId="8" fillId="0" borderId="20" xfId="0" applyFont="1" applyBorder="1" applyAlignment="1">
      <alignment horizontal="center"/>
    </xf>
    <xf numFmtId="0" fontId="8" fillId="0" borderId="27" xfId="0" applyFont="1" applyBorder="1" applyAlignment="1">
      <alignment horizontal="center"/>
    </xf>
    <xf numFmtId="0" fontId="10" fillId="3" borderId="20" xfId="0" applyFont="1" applyFill="1" applyBorder="1" applyAlignment="1">
      <alignment horizontal="center"/>
    </xf>
    <xf numFmtId="0" fontId="9" fillId="0" borderId="16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5" fillId="2" borderId="2" xfId="0" applyFont="1" applyFill="1" applyBorder="1" applyAlignment="1">
      <alignment horizontal="left" vertical="center" wrapText="1"/>
    </xf>
    <xf numFmtId="0" fontId="15" fillId="2" borderId="2" xfId="0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horizontal="left" vertical="top" wrapText="1"/>
    </xf>
    <xf numFmtId="0" fontId="15" fillId="2" borderId="7" xfId="0" applyFont="1" applyFill="1" applyBorder="1" applyAlignment="1">
      <alignment horizontal="left" vertical="center" wrapText="1"/>
    </xf>
    <xf numFmtId="0" fontId="15" fillId="2" borderId="8" xfId="0" applyFont="1" applyFill="1" applyBorder="1" applyAlignment="1">
      <alignment horizontal="left" vertical="center" wrapText="1"/>
    </xf>
    <xf numFmtId="0" fontId="15" fillId="2" borderId="9" xfId="0" applyFont="1" applyFill="1" applyBorder="1" applyAlignment="1">
      <alignment horizontal="left" vertical="center" wrapText="1"/>
    </xf>
    <xf numFmtId="0" fontId="15" fillId="2" borderId="11" xfId="0" applyFont="1" applyFill="1" applyBorder="1" applyAlignment="1">
      <alignment horizontal="left" vertical="center" wrapText="1"/>
    </xf>
    <xf numFmtId="0" fontId="15" fillId="2" borderId="12" xfId="0" applyFont="1" applyFill="1" applyBorder="1" applyAlignment="1">
      <alignment horizontal="left" vertical="center" wrapText="1"/>
    </xf>
    <xf numFmtId="0" fontId="15" fillId="2" borderId="13" xfId="0" applyFont="1" applyFill="1" applyBorder="1" applyAlignment="1">
      <alignment horizontal="left" vertical="center" wrapText="1"/>
    </xf>
    <xf numFmtId="0" fontId="15" fillId="2" borderId="2" xfId="0" applyFont="1" applyFill="1" applyBorder="1" applyAlignment="1">
      <alignment horizontal="center"/>
    </xf>
    <xf numFmtId="0" fontId="15" fillId="2" borderId="2" xfId="0" applyFont="1" applyFill="1" applyBorder="1" applyAlignment="1">
      <alignment horizontal="left" vertical="center"/>
    </xf>
    <xf numFmtId="0" fontId="15" fillId="2" borderId="3" xfId="0" applyFont="1" applyFill="1" applyBorder="1" applyAlignment="1">
      <alignment horizontal="center"/>
    </xf>
    <xf numFmtId="0" fontId="15" fillId="2" borderId="4" xfId="0" applyFont="1" applyFill="1" applyBorder="1" applyAlignment="1">
      <alignment horizontal="center"/>
    </xf>
    <xf numFmtId="0" fontId="15" fillId="2" borderId="5" xfId="0" applyFont="1" applyFill="1" applyBorder="1" applyAlignment="1">
      <alignment horizontal="center"/>
    </xf>
    <xf numFmtId="0" fontId="15" fillId="2" borderId="3" xfId="0" applyFont="1" applyFill="1" applyBorder="1" applyAlignment="1">
      <alignment horizontal="left" vertical="center"/>
    </xf>
    <xf numFmtId="0" fontId="15" fillId="2" borderId="4" xfId="0" applyFont="1" applyFill="1" applyBorder="1" applyAlignment="1">
      <alignment horizontal="left" vertical="center"/>
    </xf>
    <xf numFmtId="0" fontId="15" fillId="2" borderId="5" xfId="0" applyFont="1" applyFill="1" applyBorder="1" applyAlignment="1">
      <alignment horizontal="left" vertical="center"/>
    </xf>
    <xf numFmtId="0" fontId="15" fillId="2" borderId="3" xfId="0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5" fillId="2" borderId="5" xfId="0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left" vertical="center"/>
    </xf>
    <xf numFmtId="0" fontId="15" fillId="2" borderId="8" xfId="0" applyFont="1" applyFill="1" applyBorder="1" applyAlignment="1">
      <alignment horizontal="left" vertical="center"/>
    </xf>
    <xf numFmtId="0" fontId="15" fillId="2" borderId="9" xfId="0" applyFont="1" applyFill="1" applyBorder="1" applyAlignment="1">
      <alignment horizontal="left" vertical="center"/>
    </xf>
    <xf numFmtId="0" fontId="15" fillId="2" borderId="0" xfId="0" applyFont="1" applyFill="1" applyAlignment="1">
      <alignment horizontal="right"/>
    </xf>
    <xf numFmtId="0" fontId="18" fillId="2" borderId="5" xfId="0" applyFont="1" applyFill="1" applyBorder="1" applyAlignment="1">
      <alignment horizontal="left" vertical="center"/>
    </xf>
    <xf numFmtId="0" fontId="18" fillId="2" borderId="2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center"/>
    </xf>
    <xf numFmtId="0" fontId="16" fillId="2" borderId="15" xfId="0" applyFont="1" applyFill="1" applyBorder="1" applyAlignment="1">
      <alignment horizontal="center" vertical="center" textRotation="90"/>
    </xf>
    <xf numFmtId="0" fontId="16" fillId="2" borderId="10" xfId="0" applyFont="1" applyFill="1" applyBorder="1" applyAlignment="1">
      <alignment horizontal="center" vertical="center" textRotation="90"/>
    </xf>
    <xf numFmtId="0" fontId="16" fillId="2" borderId="14" xfId="0" applyFont="1" applyFill="1" applyBorder="1" applyAlignment="1">
      <alignment horizontal="center" vertical="center" textRotation="90"/>
    </xf>
    <xf numFmtId="0" fontId="18" fillId="4" borderId="62" xfId="0" applyFont="1" applyFill="1" applyBorder="1" applyAlignment="1">
      <alignment horizontal="left" vertical="center" wrapText="1"/>
    </xf>
    <xf numFmtId="0" fontId="18" fillId="4" borderId="63" xfId="0" applyFont="1" applyFill="1" applyBorder="1" applyAlignment="1">
      <alignment horizontal="left" vertical="center" wrapText="1"/>
    </xf>
    <xf numFmtId="0" fontId="18" fillId="4" borderId="64" xfId="0" applyFont="1" applyFill="1" applyBorder="1" applyAlignment="1">
      <alignment horizontal="left" vertical="center" wrapText="1"/>
    </xf>
    <xf numFmtId="0" fontId="18" fillId="4" borderId="62" xfId="0" applyFont="1" applyFill="1" applyBorder="1" applyAlignment="1">
      <alignment horizontal="center"/>
    </xf>
    <xf numFmtId="0" fontId="18" fillId="4" borderId="63" xfId="0" applyFont="1" applyFill="1" applyBorder="1" applyAlignment="1">
      <alignment horizontal="center"/>
    </xf>
    <xf numFmtId="0" fontId="18" fillId="4" borderId="64" xfId="0" applyFont="1" applyFill="1" applyBorder="1" applyAlignment="1">
      <alignment horizontal="center"/>
    </xf>
    <xf numFmtId="0" fontId="18" fillId="2" borderId="7" xfId="0" applyFont="1" applyFill="1" applyBorder="1" applyAlignment="1">
      <alignment horizontal="center"/>
    </xf>
    <xf numFmtId="0" fontId="18" fillId="2" borderId="8" xfId="0" applyFont="1" applyFill="1" applyBorder="1" applyAlignment="1">
      <alignment horizontal="center"/>
    </xf>
    <xf numFmtId="0" fontId="18" fillId="2" borderId="9" xfId="0" applyFont="1" applyFill="1" applyBorder="1" applyAlignment="1">
      <alignment horizontal="center"/>
    </xf>
    <xf numFmtId="0" fontId="18" fillId="2" borderId="11" xfId="0" applyFont="1" applyFill="1" applyBorder="1" applyAlignment="1">
      <alignment horizontal="center"/>
    </xf>
    <xf numFmtId="0" fontId="18" fillId="2" borderId="12" xfId="0" applyFont="1" applyFill="1" applyBorder="1" applyAlignment="1">
      <alignment horizontal="center"/>
    </xf>
    <xf numFmtId="0" fontId="18" fillId="2" borderId="13" xfId="0" applyFont="1" applyFill="1" applyBorder="1" applyAlignment="1">
      <alignment horizontal="center"/>
    </xf>
    <xf numFmtId="0" fontId="18" fillId="4" borderId="7" xfId="0" applyFont="1" applyFill="1" applyBorder="1" applyAlignment="1">
      <alignment horizontal="left" vertical="center" wrapText="1"/>
    </xf>
    <xf numFmtId="0" fontId="18" fillId="4" borderId="8" xfId="0" applyFont="1" applyFill="1" applyBorder="1" applyAlignment="1">
      <alignment horizontal="left" vertical="center" wrapText="1"/>
    </xf>
    <xf numFmtId="0" fontId="18" fillId="4" borderId="9" xfId="0" applyFont="1" applyFill="1" applyBorder="1" applyAlignment="1">
      <alignment horizontal="left" vertical="center" wrapText="1"/>
    </xf>
    <xf numFmtId="0" fontId="18" fillId="4" borderId="11" xfId="0" applyFont="1" applyFill="1" applyBorder="1" applyAlignment="1">
      <alignment horizontal="left" vertical="center" wrapText="1"/>
    </xf>
    <xf numFmtId="0" fontId="18" fillId="4" borderId="12" xfId="0" applyFont="1" applyFill="1" applyBorder="1" applyAlignment="1">
      <alignment horizontal="left" vertical="center" wrapText="1"/>
    </xf>
    <xf numFmtId="0" fontId="18" fillId="4" borderId="13" xfId="0" applyFont="1" applyFill="1" applyBorder="1" applyAlignment="1">
      <alignment horizontal="left" vertical="center" wrapText="1"/>
    </xf>
    <xf numFmtId="0" fontId="18" fillId="4" borderId="7" xfId="0" applyFont="1" applyFill="1" applyBorder="1" applyAlignment="1">
      <alignment horizontal="center"/>
    </xf>
    <xf numFmtId="0" fontId="18" fillId="4" borderId="8" xfId="0" applyFont="1" applyFill="1" applyBorder="1" applyAlignment="1">
      <alignment horizontal="center"/>
    </xf>
    <xf numFmtId="0" fontId="18" fillId="4" borderId="9" xfId="0" applyFont="1" applyFill="1" applyBorder="1" applyAlignment="1">
      <alignment horizontal="center"/>
    </xf>
    <xf numFmtId="0" fontId="18" fillId="4" borderId="11" xfId="0" applyFont="1" applyFill="1" applyBorder="1" applyAlignment="1">
      <alignment horizontal="center"/>
    </xf>
    <xf numFmtId="0" fontId="18" fillId="4" borderId="12" xfId="0" applyFont="1" applyFill="1" applyBorder="1" applyAlignment="1">
      <alignment horizontal="center"/>
    </xf>
    <xf numFmtId="0" fontId="18" fillId="4" borderId="13" xfId="0" applyFont="1" applyFill="1" applyBorder="1" applyAlignment="1">
      <alignment horizontal="center"/>
    </xf>
    <xf numFmtId="0" fontId="25" fillId="2" borderId="0" xfId="0" applyFont="1" applyFill="1" applyAlignment="1">
      <alignment horizontal="center" vertical="center"/>
    </xf>
    <xf numFmtId="0" fontId="15" fillId="2" borderId="2" xfId="0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horizontal="center" vertical="center" wrapText="1"/>
    </xf>
    <xf numFmtId="0" fontId="13" fillId="2" borderId="11" xfId="0" applyFont="1" applyFill="1" applyBorder="1" applyAlignment="1">
      <alignment horizontal="center" vertical="center" wrapText="1"/>
    </xf>
    <xf numFmtId="0" fontId="13" fillId="2" borderId="12" xfId="0" applyFont="1" applyFill="1" applyBorder="1" applyAlignment="1">
      <alignment horizontal="center" vertical="center" wrapText="1"/>
    </xf>
    <xf numFmtId="0" fontId="13" fillId="2" borderId="13" xfId="0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center" vertical="center"/>
    </xf>
    <xf numFmtId="0" fontId="13" fillId="2" borderId="8" xfId="0" applyFont="1" applyFill="1" applyBorder="1" applyAlignment="1">
      <alignment horizontal="center" vertical="center"/>
    </xf>
    <xf numFmtId="0" fontId="13" fillId="2" borderId="9" xfId="0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13" fillId="2" borderId="0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0" fontId="24" fillId="2" borderId="2" xfId="0" applyFont="1" applyFill="1" applyBorder="1" applyAlignment="1">
      <alignment horizontal="center" vertical="center"/>
    </xf>
    <xf numFmtId="0" fontId="16" fillId="2" borderId="2" xfId="0" applyFont="1" applyFill="1" applyBorder="1" applyAlignment="1">
      <alignment horizontal="center" vertical="center" textRotation="90"/>
    </xf>
    <xf numFmtId="0" fontId="23" fillId="2" borderId="2" xfId="0" applyFont="1" applyFill="1" applyBorder="1" applyAlignment="1">
      <alignment horizontal="left" vertical="top"/>
    </xf>
    <xf numFmtId="0" fontId="24" fillId="2" borderId="0" xfId="0" applyFont="1" applyFill="1" applyAlignment="1">
      <alignment horizontal="left" wrapText="1"/>
    </xf>
    <xf numFmtId="0" fontId="18" fillId="2" borderId="7" xfId="0" applyFont="1" applyFill="1" applyBorder="1" applyAlignment="1">
      <alignment horizontal="left" vertical="center" wrapText="1"/>
    </xf>
    <xf numFmtId="0" fontId="18" fillId="2" borderId="8" xfId="0" applyFont="1" applyFill="1" applyBorder="1" applyAlignment="1">
      <alignment horizontal="left" vertical="center" wrapText="1"/>
    </xf>
    <xf numFmtId="0" fontId="18" fillId="2" borderId="9" xfId="0" applyFont="1" applyFill="1" applyBorder="1" applyAlignment="1">
      <alignment horizontal="left" vertical="center" wrapText="1"/>
    </xf>
    <xf numFmtId="0" fontId="18" fillId="2" borderId="11" xfId="0" applyFont="1" applyFill="1" applyBorder="1" applyAlignment="1">
      <alignment horizontal="left" vertical="center" wrapText="1"/>
    </xf>
    <xf numFmtId="0" fontId="18" fillId="2" borderId="12" xfId="0" applyFont="1" applyFill="1" applyBorder="1" applyAlignment="1">
      <alignment horizontal="left" vertical="center" wrapText="1"/>
    </xf>
    <xf numFmtId="0" fontId="18" fillId="2" borderId="13" xfId="0" applyFont="1" applyFill="1" applyBorder="1" applyAlignment="1">
      <alignment horizontal="left" vertical="center" wrapText="1"/>
    </xf>
    <xf numFmtId="0" fontId="18" fillId="2" borderId="7" xfId="0" applyFont="1" applyFill="1" applyBorder="1" applyAlignment="1">
      <alignment horizontal="left" vertical="center"/>
    </xf>
    <xf numFmtId="0" fontId="18" fillId="2" borderId="8" xfId="0" applyFont="1" applyFill="1" applyBorder="1" applyAlignment="1">
      <alignment horizontal="left" vertical="center"/>
    </xf>
    <xf numFmtId="0" fontId="18" fillId="2" borderId="9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0" fontId="18" fillId="2" borderId="12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8" fillId="4" borderId="65" xfId="0" applyFont="1" applyFill="1" applyBorder="1" applyAlignment="1">
      <alignment horizontal="left" vertical="center" wrapText="1"/>
    </xf>
    <xf numFmtId="0" fontId="18" fillId="4" borderId="66" xfId="0" applyFont="1" applyFill="1" applyBorder="1" applyAlignment="1">
      <alignment horizontal="left" vertical="center" wrapText="1"/>
    </xf>
    <xf numFmtId="0" fontId="18" fillId="4" borderId="67" xfId="0" applyFont="1" applyFill="1" applyBorder="1" applyAlignment="1">
      <alignment horizontal="left" vertical="center" wrapText="1"/>
    </xf>
    <xf numFmtId="0" fontId="18" fillId="4" borderId="65" xfId="0" applyFont="1" applyFill="1" applyBorder="1" applyAlignment="1">
      <alignment horizontal="center"/>
    </xf>
    <xf numFmtId="0" fontId="18" fillId="4" borderId="66" xfId="0" applyFont="1" applyFill="1" applyBorder="1" applyAlignment="1">
      <alignment horizontal="center"/>
    </xf>
    <xf numFmtId="0" fontId="18" fillId="4" borderId="67" xfId="0" applyFont="1" applyFill="1" applyBorder="1" applyAlignment="1">
      <alignment horizontal="center"/>
    </xf>
    <xf numFmtId="0" fontId="15" fillId="2" borderId="11" xfId="0" applyFont="1" applyFill="1" applyBorder="1" applyAlignment="1">
      <alignment horizontal="left" vertical="center"/>
    </xf>
    <xf numFmtId="0" fontId="15" fillId="2" borderId="12" xfId="0" applyFont="1" applyFill="1" applyBorder="1" applyAlignment="1">
      <alignment horizontal="left" vertical="center"/>
    </xf>
    <xf numFmtId="0" fontId="15" fillId="2" borderId="13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5" fillId="2" borderId="0" xfId="0" applyFont="1" applyFill="1" applyAlignment="1">
      <alignment horizontal="left" vertical="center"/>
    </xf>
    <xf numFmtId="0" fontId="2" fillId="2" borderId="1" xfId="0" applyFont="1" applyFill="1" applyBorder="1" applyAlignment="1">
      <alignment horizontal="center" vertical="top" wrapText="1"/>
    </xf>
    <xf numFmtId="0" fontId="2" fillId="2" borderId="10" xfId="0" applyFont="1" applyFill="1" applyBorder="1" applyAlignment="1">
      <alignment horizontal="center" vertical="top" wrapText="1"/>
    </xf>
    <xf numFmtId="0" fontId="28" fillId="2" borderId="6" xfId="0" applyFont="1" applyFill="1" applyBorder="1" applyAlignment="1">
      <alignment horizontal="left" vertical="center" wrapText="1"/>
    </xf>
    <xf numFmtId="0" fontId="26" fillId="0" borderId="0" xfId="0" applyFont="1" applyBorder="1" applyAlignment="1">
      <alignment horizontal="left" vertical="center" wrapText="1"/>
    </xf>
    <xf numFmtId="0" fontId="26" fillId="0" borderId="1" xfId="0" applyFont="1" applyBorder="1" applyAlignment="1">
      <alignment horizontal="left" vertical="center" wrapText="1"/>
    </xf>
    <xf numFmtId="0" fontId="26" fillId="0" borderId="6" xfId="0" applyFont="1" applyBorder="1" applyAlignment="1">
      <alignment horizontal="left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left" vertical="center" wrapText="1"/>
    </xf>
    <xf numFmtId="0" fontId="2" fillId="2" borderId="0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2" fillId="2" borderId="6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left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 wrapText="1"/>
    </xf>
    <xf numFmtId="15" fontId="37" fillId="0" borderId="28" xfId="0" applyNumberFormat="1" applyFont="1" applyFill="1" applyBorder="1" applyAlignment="1">
      <alignment horizontal="center" vertical="center" wrapText="1"/>
    </xf>
    <xf numFmtId="15" fontId="37" fillId="0" borderId="81" xfId="0" applyNumberFormat="1" applyFont="1" applyFill="1" applyBorder="1" applyAlignment="1">
      <alignment horizontal="center" vertical="center" wrapText="1"/>
    </xf>
    <xf numFmtId="15" fontId="37" fillId="0" borderId="29" xfId="0" applyNumberFormat="1" applyFont="1" applyFill="1" applyBorder="1" applyAlignment="1">
      <alignment horizontal="center" vertical="center" wrapText="1"/>
    </xf>
    <xf numFmtId="15" fontId="37" fillId="0" borderId="52" xfId="0" applyNumberFormat="1" applyFont="1" applyFill="1" applyBorder="1" applyAlignment="1">
      <alignment horizontal="center" vertical="center" wrapText="1"/>
    </xf>
    <xf numFmtId="15" fontId="37" fillId="0" borderId="2" xfId="0" applyNumberFormat="1" applyFont="1" applyFill="1" applyBorder="1" applyAlignment="1">
      <alignment horizontal="center" vertical="center" wrapText="1"/>
    </xf>
    <xf numFmtId="15" fontId="37" fillId="0" borderId="50" xfId="0" applyNumberFormat="1" applyFont="1" applyFill="1" applyBorder="1" applyAlignment="1">
      <alignment horizontal="center" vertical="center" wrapText="1"/>
    </xf>
    <xf numFmtId="15" fontId="37" fillId="0" borderId="33" xfId="0" applyNumberFormat="1" applyFont="1" applyFill="1" applyBorder="1" applyAlignment="1">
      <alignment horizontal="center" vertical="center" wrapText="1"/>
    </xf>
    <xf numFmtId="15" fontId="37" fillId="0" borderId="82" xfId="0" applyNumberFormat="1" applyFont="1" applyFill="1" applyBorder="1" applyAlignment="1">
      <alignment horizontal="center" vertical="center" wrapText="1"/>
    </xf>
    <xf numFmtId="15" fontId="37" fillId="0" borderId="34" xfId="0" applyNumberFormat="1" applyFont="1" applyFill="1" applyBorder="1" applyAlignment="1">
      <alignment horizontal="center" vertical="center" wrapText="1"/>
    </xf>
    <xf numFmtId="0" fontId="36" fillId="0" borderId="0" xfId="0" applyFont="1" applyAlignment="1">
      <alignment horizontal="left" vertical="center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45" fillId="0" borderId="2" xfId="0" applyFont="1" applyBorder="1" applyAlignment="1">
      <alignment horizontal="center" vertical="top" wrapText="1"/>
    </xf>
    <xf numFmtId="0" fontId="49" fillId="0" borderId="0" xfId="0" applyFont="1" applyAlignment="1">
      <alignment horizontal="left" vertical="center"/>
    </xf>
    <xf numFmtId="15" fontId="37" fillId="0" borderId="21" xfId="0" applyNumberFormat="1" applyFont="1" applyFill="1" applyBorder="1" applyAlignment="1">
      <alignment horizontal="left" vertical="top" wrapText="1"/>
    </xf>
    <xf numFmtId="15" fontId="37" fillId="0" borderId="22" xfId="0" applyNumberFormat="1" applyFont="1" applyFill="1" applyBorder="1" applyAlignment="1">
      <alignment horizontal="left" vertical="top" wrapText="1"/>
    </xf>
    <xf numFmtId="15" fontId="37" fillId="0" borderId="23" xfId="0" applyNumberFormat="1" applyFont="1" applyFill="1" applyBorder="1" applyAlignment="1">
      <alignment horizontal="left" vertical="top" wrapText="1"/>
    </xf>
    <xf numFmtId="15" fontId="37" fillId="0" borderId="24" xfId="0" applyNumberFormat="1" applyFont="1" applyFill="1" applyBorder="1" applyAlignment="1">
      <alignment horizontal="left" vertical="top" wrapText="1"/>
    </xf>
    <xf numFmtId="15" fontId="37" fillId="0" borderId="0" xfId="0" applyNumberFormat="1" applyFont="1" applyFill="1" applyBorder="1" applyAlignment="1">
      <alignment horizontal="left" vertical="top" wrapText="1"/>
    </xf>
    <xf numFmtId="15" fontId="37" fillId="0" borderId="25" xfId="0" applyNumberFormat="1" applyFont="1" applyFill="1" applyBorder="1" applyAlignment="1">
      <alignment horizontal="left" vertical="top" wrapText="1"/>
    </xf>
    <xf numFmtId="15" fontId="37" fillId="0" borderId="26" xfId="0" applyNumberFormat="1" applyFont="1" applyFill="1" applyBorder="1" applyAlignment="1">
      <alignment horizontal="left" vertical="top" wrapText="1"/>
    </xf>
    <xf numFmtId="15" fontId="37" fillId="0" borderId="20" xfId="0" applyNumberFormat="1" applyFont="1" applyFill="1" applyBorder="1" applyAlignment="1">
      <alignment horizontal="left" vertical="top" wrapText="1"/>
    </xf>
    <xf numFmtId="15" fontId="37" fillId="0" borderId="27" xfId="0" applyNumberFormat="1" applyFont="1" applyFill="1" applyBorder="1" applyAlignment="1">
      <alignment horizontal="left" vertical="top" wrapText="1"/>
    </xf>
    <xf numFmtId="15" fontId="47" fillId="0" borderId="58" xfId="0" applyNumberFormat="1" applyFont="1" applyFill="1" applyBorder="1" applyAlignment="1">
      <alignment horizontal="center" vertical="center"/>
    </xf>
    <xf numFmtId="15" fontId="47" fillId="0" borderId="8" xfId="0" applyNumberFormat="1" applyFont="1" applyFill="1" applyBorder="1" applyAlignment="1">
      <alignment horizontal="center" vertical="center"/>
    </xf>
    <xf numFmtId="15" fontId="47" fillId="0" borderId="9" xfId="0" applyNumberFormat="1" applyFont="1" applyFill="1" applyBorder="1" applyAlignment="1">
      <alignment horizontal="center" vertical="center"/>
    </xf>
    <xf numFmtId="15" fontId="47" fillId="0" borderId="24" xfId="0" applyNumberFormat="1" applyFont="1" applyFill="1" applyBorder="1" applyAlignment="1">
      <alignment horizontal="center" vertical="center"/>
    </xf>
    <xf numFmtId="15" fontId="47" fillId="0" borderId="0" xfId="0" applyNumberFormat="1" applyFont="1" applyFill="1" applyBorder="1" applyAlignment="1">
      <alignment horizontal="center" vertical="center"/>
    </xf>
    <xf numFmtId="15" fontId="47" fillId="0" borderId="1" xfId="0" applyNumberFormat="1" applyFont="1" applyFill="1" applyBorder="1" applyAlignment="1">
      <alignment horizontal="center" vertical="center"/>
    </xf>
    <xf numFmtId="15" fontId="47" fillId="0" borderId="26" xfId="0" applyNumberFormat="1" applyFont="1" applyFill="1" applyBorder="1" applyAlignment="1">
      <alignment horizontal="center" vertical="center"/>
    </xf>
    <xf numFmtId="15" fontId="47" fillId="0" borderId="20" xfId="0" applyNumberFormat="1" applyFont="1" applyFill="1" applyBorder="1" applyAlignment="1">
      <alignment horizontal="center" vertical="center"/>
    </xf>
    <xf numFmtId="15" fontId="47" fillId="0" borderId="78" xfId="0" applyNumberFormat="1" applyFont="1" applyFill="1" applyBorder="1" applyAlignment="1">
      <alignment horizontal="center" vertical="center"/>
    </xf>
    <xf numFmtId="15" fontId="47" fillId="0" borderId="7" xfId="0" applyNumberFormat="1" applyFont="1" applyFill="1" applyBorder="1" applyAlignment="1">
      <alignment horizontal="center" vertical="center"/>
    </xf>
    <xf numFmtId="15" fontId="47" fillId="0" borderId="6" xfId="0" applyNumberFormat="1" applyFont="1" applyFill="1" applyBorder="1" applyAlignment="1">
      <alignment horizontal="center" vertical="center"/>
    </xf>
    <xf numFmtId="15" fontId="47" fillId="0" borderId="79" xfId="0" applyNumberFormat="1" applyFont="1" applyFill="1" applyBorder="1" applyAlignment="1">
      <alignment horizontal="center" vertical="center"/>
    </xf>
    <xf numFmtId="15" fontId="47" fillId="0" borderId="43" xfId="0" applyNumberFormat="1" applyFont="1" applyFill="1" applyBorder="1" applyAlignment="1">
      <alignment horizontal="center" vertical="center"/>
    </xf>
    <xf numFmtId="15" fontId="47" fillId="0" borderId="12" xfId="0" applyNumberFormat="1" applyFont="1" applyFill="1" applyBorder="1" applyAlignment="1">
      <alignment horizontal="center" vertical="center"/>
    </xf>
    <xf numFmtId="15" fontId="47" fillId="0" borderId="13" xfId="0" applyNumberFormat="1" applyFont="1" applyFill="1" applyBorder="1" applyAlignment="1">
      <alignment horizontal="center" vertical="center"/>
    </xf>
    <xf numFmtId="15" fontId="47" fillId="0" borderId="11" xfId="0" applyNumberFormat="1" applyFont="1" applyFill="1" applyBorder="1" applyAlignment="1">
      <alignment horizontal="center" vertical="center"/>
    </xf>
    <xf numFmtId="15" fontId="47" fillId="0" borderId="56" xfId="0" applyNumberFormat="1" applyFont="1" applyFill="1" applyBorder="1" applyAlignment="1">
      <alignment horizontal="center" vertical="center"/>
    </xf>
    <xf numFmtId="15" fontId="47" fillId="0" borderId="77" xfId="0" applyNumberFormat="1" applyFont="1" applyFill="1" applyBorder="1" applyAlignment="1">
      <alignment horizontal="center" vertical="center"/>
    </xf>
    <xf numFmtId="15" fontId="47" fillId="0" borderId="80" xfId="0" applyNumberFormat="1" applyFont="1" applyFill="1" applyBorder="1" applyAlignment="1">
      <alignment horizontal="center" vertical="center"/>
    </xf>
    <xf numFmtId="15" fontId="47" fillId="0" borderId="45" xfId="0" applyNumberFormat="1" applyFont="1" applyFill="1" applyBorder="1" applyAlignment="1">
      <alignment horizontal="center" vertical="center"/>
    </xf>
    <xf numFmtId="0" fontId="0" fillId="0" borderId="22" xfId="0" applyFont="1" applyFill="1" applyBorder="1" applyAlignment="1">
      <alignment horizontal="center" vertical="center" wrapText="1"/>
    </xf>
    <xf numFmtId="0" fontId="0" fillId="0" borderId="23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 wrapText="1"/>
    </xf>
    <xf numFmtId="0" fontId="0" fillId="0" borderId="25" xfId="0" applyFont="1" applyFill="1" applyBorder="1" applyAlignment="1">
      <alignment horizontal="center" vertical="center" wrapText="1"/>
    </xf>
    <xf numFmtId="0" fontId="0" fillId="0" borderId="20" xfId="0" applyFont="1" applyFill="1" applyBorder="1" applyAlignment="1">
      <alignment horizontal="center" vertical="center" wrapText="1"/>
    </xf>
    <xf numFmtId="0" fontId="0" fillId="0" borderId="27" xfId="0" applyFont="1" applyFill="1" applyBorder="1" applyAlignment="1">
      <alignment horizontal="center" vertical="center" wrapText="1"/>
    </xf>
    <xf numFmtId="0" fontId="31" fillId="0" borderId="2" xfId="0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 wrapText="1"/>
    </xf>
    <xf numFmtId="0" fontId="44" fillId="2" borderId="2" xfId="0" applyFont="1" applyFill="1" applyBorder="1" applyAlignment="1">
      <alignment horizontal="center" wrapText="1"/>
    </xf>
    <xf numFmtId="0" fontId="31" fillId="0" borderId="3" xfId="0" applyFont="1" applyFill="1" applyBorder="1" applyAlignment="1">
      <alignment horizontal="center" vertical="center" wrapText="1"/>
    </xf>
    <xf numFmtId="0" fontId="31" fillId="0" borderId="4" xfId="0" applyFont="1" applyFill="1" applyBorder="1" applyAlignment="1">
      <alignment horizontal="center" vertical="center" wrapText="1"/>
    </xf>
    <xf numFmtId="0" fontId="31" fillId="0" borderId="5" xfId="0" applyFont="1" applyFill="1" applyBorder="1" applyAlignment="1">
      <alignment horizontal="center" vertical="center" wrapText="1"/>
    </xf>
    <xf numFmtId="0" fontId="45" fillId="0" borderId="7" xfId="0" applyFont="1" applyFill="1" applyBorder="1" applyAlignment="1">
      <alignment horizontal="center"/>
    </xf>
    <xf numFmtId="0" fontId="45" fillId="0" borderId="8" xfId="0" applyFont="1" applyFill="1" applyBorder="1" applyAlignment="1">
      <alignment horizontal="center"/>
    </xf>
    <xf numFmtId="0" fontId="45" fillId="0" borderId="9" xfId="0" applyFont="1" applyFill="1" applyBorder="1" applyAlignment="1">
      <alignment horizontal="center"/>
    </xf>
    <xf numFmtId="0" fontId="45" fillId="0" borderId="11" xfId="0" applyFont="1" applyFill="1" applyBorder="1" applyAlignment="1">
      <alignment horizontal="center"/>
    </xf>
    <xf numFmtId="0" fontId="45" fillId="0" borderId="12" xfId="0" applyFont="1" applyFill="1" applyBorder="1" applyAlignment="1">
      <alignment horizontal="center"/>
    </xf>
    <xf numFmtId="0" fontId="45" fillId="0" borderId="13" xfId="0" applyFont="1" applyFill="1" applyBorder="1" applyAlignment="1">
      <alignment horizontal="center"/>
    </xf>
    <xf numFmtId="0" fontId="31" fillId="0" borderId="3" xfId="0" applyFont="1" applyFill="1" applyBorder="1" applyAlignment="1">
      <alignment horizontal="center" vertical="center"/>
    </xf>
    <xf numFmtId="0" fontId="31" fillId="0" borderId="4" xfId="0" applyFont="1" applyFill="1" applyBorder="1" applyAlignment="1">
      <alignment horizontal="center" vertical="center"/>
    </xf>
    <xf numFmtId="0" fontId="31" fillId="0" borderId="5" xfId="0" applyFont="1" applyFill="1" applyBorder="1" applyAlignment="1">
      <alignment horizontal="center" vertical="center"/>
    </xf>
    <xf numFmtId="0" fontId="43" fillId="4" borderId="2" xfId="0" applyFont="1" applyFill="1" applyBorder="1" applyAlignment="1">
      <alignment horizontal="left" vertical="center"/>
    </xf>
    <xf numFmtId="0" fontId="1" fillId="0" borderId="3" xfId="0" applyFont="1" applyFill="1" applyBorder="1" applyAlignment="1">
      <alignment horizontal="left" vertical="center"/>
    </xf>
    <xf numFmtId="0" fontId="1" fillId="0" borderId="4" xfId="0" applyFont="1" applyFill="1" applyBorder="1" applyAlignment="1">
      <alignment horizontal="left" vertical="center"/>
    </xf>
    <xf numFmtId="0" fontId="1" fillId="0" borderId="5" xfId="0" applyFont="1" applyFill="1" applyBorder="1" applyAlignment="1">
      <alignment horizontal="left" vertical="center"/>
    </xf>
    <xf numFmtId="14" fontId="1" fillId="0" borderId="3" xfId="0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41" fillId="2" borderId="3" xfId="0" applyFont="1" applyFill="1" applyBorder="1" applyAlignment="1">
      <alignment horizontal="left" vertical="center" wrapText="1"/>
    </xf>
    <xf numFmtId="0" fontId="41" fillId="2" borderId="4" xfId="0" applyFont="1" applyFill="1" applyBorder="1" applyAlignment="1">
      <alignment horizontal="left" vertical="center" wrapText="1"/>
    </xf>
    <xf numFmtId="0" fontId="41" fillId="2" borderId="5" xfId="0" applyFont="1" applyFill="1" applyBorder="1" applyAlignment="1">
      <alignment horizontal="left" vertical="center" wrapText="1"/>
    </xf>
    <xf numFmtId="0" fontId="32" fillId="0" borderId="3" xfId="0" applyFont="1" applyFill="1" applyBorder="1" applyAlignment="1">
      <alignment horizontal="center" vertical="center" wrapText="1"/>
    </xf>
    <xf numFmtId="0" fontId="32" fillId="0" borderId="4" xfId="0" applyFont="1" applyFill="1" applyBorder="1" applyAlignment="1">
      <alignment horizontal="center" vertical="center" wrapText="1"/>
    </xf>
    <xf numFmtId="0" fontId="32" fillId="0" borderId="5" xfId="0" applyFont="1" applyFill="1" applyBorder="1" applyAlignment="1">
      <alignment horizontal="center" vertical="center" wrapText="1"/>
    </xf>
    <xf numFmtId="0" fontId="25" fillId="0" borderId="17" xfId="0" applyFont="1" applyFill="1" applyBorder="1" applyAlignment="1">
      <alignment horizontal="center" vertical="center"/>
    </xf>
    <xf numFmtId="0" fontId="34" fillId="0" borderId="7" xfId="0" applyFont="1" applyBorder="1" applyAlignment="1">
      <alignment horizontal="center" vertical="center" wrapText="1"/>
    </xf>
    <xf numFmtId="0" fontId="34" fillId="0" borderId="8" xfId="0" applyFont="1" applyBorder="1" applyAlignment="1">
      <alignment horizontal="center" vertical="center" wrapText="1"/>
    </xf>
    <xf numFmtId="0" fontId="34" fillId="0" borderId="9" xfId="0" applyFont="1" applyBorder="1" applyAlignment="1">
      <alignment horizontal="center" vertical="center" wrapText="1"/>
    </xf>
    <xf numFmtId="0" fontId="34" fillId="0" borderId="6" xfId="0" applyFont="1" applyBorder="1" applyAlignment="1">
      <alignment horizontal="center" vertical="center" wrapText="1"/>
    </xf>
    <xf numFmtId="0" fontId="34" fillId="0" borderId="0" xfId="0" applyFont="1" applyBorder="1" applyAlignment="1">
      <alignment horizontal="center" vertical="center" wrapText="1"/>
    </xf>
    <xf numFmtId="0" fontId="34" fillId="0" borderId="1" xfId="0" applyFont="1" applyBorder="1" applyAlignment="1">
      <alignment horizontal="center" vertical="center" wrapText="1"/>
    </xf>
    <xf numFmtId="0" fontId="34" fillId="0" borderId="11" xfId="0" applyFont="1" applyBorder="1" applyAlignment="1">
      <alignment horizontal="center" vertical="center" wrapText="1"/>
    </xf>
    <xf numFmtId="0" fontId="34" fillId="0" borderId="12" xfId="0" applyFont="1" applyBorder="1" applyAlignment="1">
      <alignment horizontal="center" vertical="center" wrapText="1"/>
    </xf>
    <xf numFmtId="0" fontId="34" fillId="0" borderId="13" xfId="0" applyFont="1" applyBorder="1" applyAlignment="1">
      <alignment horizontal="center" vertical="center" wrapText="1"/>
    </xf>
    <xf numFmtId="0" fontId="40" fillId="0" borderId="2" xfId="0" applyFont="1" applyFill="1" applyBorder="1" applyAlignment="1">
      <alignment horizontal="center" vertical="center"/>
    </xf>
    <xf numFmtId="0" fontId="40" fillId="0" borderId="7" xfId="0" applyFont="1" applyFill="1" applyBorder="1" applyAlignment="1">
      <alignment horizontal="center" vertical="center"/>
    </xf>
    <xf numFmtId="0" fontId="40" fillId="0" borderId="8" xfId="0" applyFont="1" applyFill="1" applyBorder="1" applyAlignment="1">
      <alignment horizontal="center" vertical="center"/>
    </xf>
    <xf numFmtId="0" fontId="40" fillId="0" borderId="9" xfId="0" applyFont="1" applyFill="1" applyBorder="1" applyAlignment="1">
      <alignment horizontal="center" vertical="center"/>
    </xf>
    <xf numFmtId="0" fontId="40" fillId="0" borderId="6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/>
    </xf>
    <xf numFmtId="0" fontId="40" fillId="0" borderId="1" xfId="0" applyFont="1" applyFill="1" applyBorder="1" applyAlignment="1">
      <alignment horizontal="center" vertical="center"/>
    </xf>
    <xf numFmtId="0" fontId="40" fillId="0" borderId="11" xfId="0" applyFont="1" applyFill="1" applyBorder="1" applyAlignment="1">
      <alignment horizontal="center" vertical="center"/>
    </xf>
    <xf numFmtId="0" fontId="40" fillId="0" borderId="12" xfId="0" applyFont="1" applyFill="1" applyBorder="1" applyAlignment="1">
      <alignment horizontal="center" vertical="center"/>
    </xf>
    <xf numFmtId="0" fontId="40" fillId="0" borderId="13" xfId="0" applyFont="1" applyFill="1" applyBorder="1" applyAlignment="1">
      <alignment horizontal="center" vertical="center"/>
    </xf>
    <xf numFmtId="0" fontId="30" fillId="0" borderId="22" xfId="0" applyFont="1" applyFill="1" applyBorder="1" applyAlignment="1">
      <alignment horizontal="right" vertical="center"/>
    </xf>
    <xf numFmtId="0" fontId="30" fillId="0" borderId="60" xfId="0" applyFont="1" applyBorder="1" applyAlignment="1">
      <alignment horizontal="center" vertical="center"/>
    </xf>
    <xf numFmtId="0" fontId="30" fillId="0" borderId="4" xfId="0" applyFont="1" applyBorder="1" applyAlignment="1">
      <alignment horizontal="center" vertical="center"/>
    </xf>
    <xf numFmtId="0" fontId="30" fillId="0" borderId="8" xfId="0" applyFont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12" fillId="4" borderId="4" xfId="0" applyFont="1" applyFill="1" applyBorder="1" applyAlignment="1">
      <alignment horizontal="center" vertical="center"/>
    </xf>
    <xf numFmtId="0" fontId="12" fillId="4" borderId="5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34" fillId="0" borderId="3" xfId="0" applyFont="1" applyBorder="1" applyAlignment="1">
      <alignment horizontal="center" vertical="center" wrapText="1"/>
    </xf>
    <xf numFmtId="0" fontId="34" fillId="0" borderId="4" xfId="0" applyFont="1" applyBorder="1" applyAlignment="1">
      <alignment horizontal="center" vertical="center" wrapText="1"/>
    </xf>
    <xf numFmtId="0" fontId="34" fillId="0" borderId="5" xfId="0" applyFont="1" applyBorder="1" applyAlignment="1">
      <alignment horizontal="center" vertical="center" wrapText="1"/>
    </xf>
    <xf numFmtId="0" fontId="31" fillId="0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left" vertical="center" wrapText="1"/>
    </xf>
    <xf numFmtId="0" fontId="40" fillId="0" borderId="6" xfId="0" applyFont="1" applyBorder="1" applyAlignment="1">
      <alignment horizontal="center" vertical="center" wrapText="1"/>
    </xf>
    <xf numFmtId="0" fontId="40" fillId="0" borderId="0" xfId="0" applyFont="1" applyBorder="1" applyAlignment="1">
      <alignment horizontal="center" vertical="center" wrapText="1"/>
    </xf>
    <xf numFmtId="0" fontId="40" fillId="0" borderId="1" xfId="0" applyFont="1" applyBorder="1" applyAlignment="1">
      <alignment horizontal="center" vertical="center" wrapText="1"/>
    </xf>
    <xf numFmtId="0" fontId="40" fillId="0" borderId="11" xfId="0" applyFont="1" applyBorder="1" applyAlignment="1">
      <alignment horizontal="center" vertical="center" wrapText="1"/>
    </xf>
    <xf numFmtId="0" fontId="40" fillId="0" borderId="12" xfId="0" applyFont="1" applyBorder="1" applyAlignment="1">
      <alignment horizontal="center" vertical="center" wrapText="1"/>
    </xf>
    <xf numFmtId="0" fontId="40" fillId="0" borderId="13" xfId="0" applyFont="1" applyBorder="1" applyAlignment="1">
      <alignment horizontal="center" vertical="center" wrapText="1"/>
    </xf>
    <xf numFmtId="0" fontId="30" fillId="0" borderId="7" xfId="0" applyFont="1" applyBorder="1" applyAlignment="1">
      <alignment horizontal="center" vertical="center"/>
    </xf>
    <xf numFmtId="0" fontId="30" fillId="0" borderId="9" xfId="0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30" fillId="0" borderId="0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30" fillId="0" borderId="11" xfId="0" applyFont="1" applyBorder="1" applyAlignment="1">
      <alignment horizontal="center" vertical="center"/>
    </xf>
    <xf numFmtId="0" fontId="30" fillId="0" borderId="12" xfId="0" applyFont="1" applyBorder="1" applyAlignment="1">
      <alignment horizontal="center" vertical="center"/>
    </xf>
    <xf numFmtId="0" fontId="30" fillId="0" borderId="13" xfId="0" applyFont="1" applyBorder="1" applyAlignment="1">
      <alignment horizontal="center" vertical="center"/>
    </xf>
    <xf numFmtId="0" fontId="43" fillId="6" borderId="3" xfId="0" applyFont="1" applyFill="1" applyBorder="1" applyAlignment="1">
      <alignment horizontal="center" vertical="center"/>
    </xf>
    <xf numFmtId="0" fontId="43" fillId="6" borderId="4" xfId="0" applyFont="1" applyFill="1" applyBorder="1" applyAlignment="1">
      <alignment horizontal="center" vertical="center"/>
    </xf>
    <xf numFmtId="0" fontId="43" fillId="6" borderId="5" xfId="0" applyFont="1" applyFill="1" applyBorder="1" applyAlignment="1">
      <alignment horizontal="center" vertical="center"/>
    </xf>
    <xf numFmtId="0" fontId="43" fillId="4" borderId="3" xfId="0" applyFont="1" applyFill="1" applyBorder="1" applyAlignment="1">
      <alignment horizontal="center" vertical="center"/>
    </xf>
    <xf numFmtId="0" fontId="43" fillId="4" borderId="4" xfId="0" applyFont="1" applyFill="1" applyBorder="1" applyAlignment="1">
      <alignment horizontal="center" vertical="center"/>
    </xf>
    <xf numFmtId="0" fontId="43" fillId="4" borderId="5" xfId="0" applyFont="1" applyFill="1" applyBorder="1" applyAlignment="1">
      <alignment horizontal="center" vertical="center"/>
    </xf>
    <xf numFmtId="0" fontId="34" fillId="0" borderId="2" xfId="0" applyFont="1" applyBorder="1" applyAlignment="1">
      <alignment horizontal="center" vertical="center" wrapText="1"/>
    </xf>
    <xf numFmtId="15" fontId="48" fillId="0" borderId="22" xfId="0" applyNumberFormat="1" applyFont="1" applyFill="1" applyBorder="1" applyAlignment="1">
      <alignment horizontal="center" vertical="center"/>
    </xf>
    <xf numFmtId="15" fontId="48" fillId="0" borderId="23" xfId="0" applyNumberFormat="1" applyFont="1" applyFill="1" applyBorder="1" applyAlignment="1">
      <alignment horizontal="center" vertical="center"/>
    </xf>
    <xf numFmtId="15" fontId="48" fillId="0" borderId="0" xfId="0" applyNumberFormat="1" applyFont="1" applyFill="1" applyBorder="1" applyAlignment="1">
      <alignment horizontal="center" vertical="center"/>
    </xf>
    <xf numFmtId="15" fontId="48" fillId="0" borderId="25" xfId="0" applyNumberFormat="1" applyFont="1" applyFill="1" applyBorder="1" applyAlignment="1">
      <alignment horizontal="center" vertical="center"/>
    </xf>
    <xf numFmtId="15" fontId="48" fillId="0" borderId="12" xfId="0" applyNumberFormat="1" applyFont="1" applyFill="1" applyBorder="1" applyAlignment="1">
      <alignment horizontal="center" vertical="center"/>
    </xf>
    <xf numFmtId="15" fontId="48" fillId="0" borderId="44" xfId="0" applyNumberFormat="1" applyFont="1" applyFill="1" applyBorder="1" applyAlignment="1">
      <alignment horizontal="center" vertical="center"/>
    </xf>
    <xf numFmtId="0" fontId="46" fillId="0" borderId="71" xfId="0" applyFont="1" applyBorder="1" applyAlignment="1">
      <alignment horizontal="left" vertical="top"/>
    </xf>
    <xf numFmtId="0" fontId="46" fillId="0" borderId="8" xfId="0" applyFont="1" applyBorder="1" applyAlignment="1">
      <alignment horizontal="left" vertical="top"/>
    </xf>
    <xf numFmtId="0" fontId="46" fillId="0" borderId="9" xfId="0" applyFont="1" applyBorder="1" applyAlignment="1">
      <alignment horizontal="left" vertical="top"/>
    </xf>
    <xf numFmtId="0" fontId="46" fillId="0" borderId="72" xfId="0" applyFont="1" applyBorder="1" applyAlignment="1">
      <alignment horizontal="left" vertical="top"/>
    </xf>
    <xf numFmtId="0" fontId="46" fillId="0" borderId="0" xfId="0" applyFont="1" applyBorder="1" applyAlignment="1">
      <alignment horizontal="left" vertical="top"/>
    </xf>
    <xf numFmtId="0" fontId="46" fillId="0" borderId="1" xfId="0" applyFont="1" applyBorder="1" applyAlignment="1">
      <alignment horizontal="left" vertical="top"/>
    </xf>
    <xf numFmtId="0" fontId="46" fillId="0" borderId="73" xfId="0" applyFont="1" applyBorder="1" applyAlignment="1">
      <alignment horizontal="left" vertical="top"/>
    </xf>
    <xf numFmtId="0" fontId="46" fillId="0" borderId="12" xfId="0" applyFont="1" applyBorder="1" applyAlignment="1">
      <alignment horizontal="left" vertical="top"/>
    </xf>
    <xf numFmtId="0" fontId="46" fillId="0" borderId="13" xfId="0" applyFont="1" applyBorder="1" applyAlignment="1">
      <alignment horizontal="left" vertical="top"/>
    </xf>
    <xf numFmtId="0" fontId="23" fillId="0" borderId="3" xfId="0" applyFont="1" applyFill="1" applyBorder="1" applyAlignment="1">
      <alignment horizontal="center" vertical="center"/>
    </xf>
    <xf numFmtId="0" fontId="23" fillId="0" borderId="4" xfId="0" applyFont="1" applyFill="1" applyBorder="1" applyAlignment="1">
      <alignment horizontal="center" vertical="center"/>
    </xf>
    <xf numFmtId="0" fontId="23" fillId="0" borderId="5" xfId="0" applyFont="1" applyFill="1" applyBorder="1" applyAlignment="1">
      <alignment horizontal="center" vertical="center"/>
    </xf>
    <xf numFmtId="0" fontId="35" fillId="0" borderId="2" xfId="0" applyFont="1" applyFill="1" applyBorder="1" applyAlignment="1">
      <alignment horizontal="center" vertical="center"/>
    </xf>
    <xf numFmtId="0" fontId="12" fillId="0" borderId="2" xfId="0" applyFont="1" applyFill="1" applyBorder="1" applyAlignment="1">
      <alignment horizontal="center" vertical="center" wrapText="1"/>
    </xf>
    <xf numFmtId="0" fontId="12" fillId="0" borderId="3" xfId="0" applyFont="1" applyFill="1" applyBorder="1" applyAlignment="1">
      <alignment horizontal="center" vertical="center" wrapText="1"/>
    </xf>
    <xf numFmtId="0" fontId="12" fillId="0" borderId="4" xfId="0" applyFont="1" applyFill="1" applyBorder="1" applyAlignment="1">
      <alignment horizontal="center" vertical="center" wrapText="1"/>
    </xf>
    <xf numFmtId="0" fontId="12" fillId="0" borderId="5" xfId="0" applyFont="1" applyFill="1" applyBorder="1" applyAlignment="1">
      <alignment horizontal="center" vertical="center" wrapText="1"/>
    </xf>
    <xf numFmtId="0" fontId="34" fillId="0" borderId="7" xfId="0" applyFont="1" applyFill="1" applyBorder="1" applyAlignment="1">
      <alignment horizontal="center" vertical="center"/>
    </xf>
    <xf numFmtId="0" fontId="34" fillId="0" borderId="8" xfId="0" applyFont="1" applyFill="1" applyBorder="1" applyAlignment="1">
      <alignment horizontal="center" vertical="center"/>
    </xf>
    <xf numFmtId="0" fontId="34" fillId="0" borderId="9" xfId="0" applyFont="1" applyFill="1" applyBorder="1" applyAlignment="1">
      <alignment horizontal="center" vertical="center"/>
    </xf>
    <xf numFmtId="0" fontId="34" fillId="0" borderId="6" xfId="0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4" fillId="0" borderId="1" xfId="0" applyFont="1" applyFill="1" applyBorder="1" applyAlignment="1">
      <alignment horizontal="center" vertical="center"/>
    </xf>
    <xf numFmtId="0" fontId="15" fillId="0" borderId="68" xfId="0" applyFont="1" applyFill="1" applyBorder="1" applyAlignment="1">
      <alignment horizontal="center" vertical="center"/>
    </xf>
    <xf numFmtId="0" fontId="15" fillId="0" borderId="69" xfId="0" applyFont="1" applyFill="1" applyBorder="1" applyAlignment="1">
      <alignment horizontal="center" vertical="center"/>
    </xf>
    <xf numFmtId="0" fontId="15" fillId="0" borderId="70" xfId="0" applyFont="1" applyFill="1" applyBorder="1" applyAlignment="1">
      <alignment horizontal="center" vertical="center"/>
    </xf>
    <xf numFmtId="0" fontId="44" fillId="0" borderId="68" xfId="0" applyFont="1" applyBorder="1" applyAlignment="1">
      <alignment horizontal="center" vertical="center" wrapText="1"/>
    </xf>
    <xf numFmtId="0" fontId="44" fillId="0" borderId="69" xfId="0" applyFont="1" applyBorder="1" applyAlignment="1">
      <alignment horizontal="center" vertical="center" wrapText="1"/>
    </xf>
    <xf numFmtId="0" fontId="44" fillId="0" borderId="70" xfId="0" applyFont="1" applyBorder="1" applyAlignment="1">
      <alignment horizontal="center" vertical="center" wrapText="1"/>
    </xf>
    <xf numFmtId="0" fontId="34" fillId="0" borderId="7" xfId="0" applyFont="1" applyBorder="1" applyAlignment="1">
      <alignment horizontal="center" vertical="top" wrapText="1"/>
    </xf>
    <xf numFmtId="0" fontId="34" fillId="0" borderId="8" xfId="0" applyFont="1" applyBorder="1" applyAlignment="1">
      <alignment horizontal="center" vertical="top" wrapText="1"/>
    </xf>
    <xf numFmtId="0" fontId="34" fillId="0" borderId="9" xfId="0" applyFont="1" applyBorder="1" applyAlignment="1">
      <alignment horizontal="center" vertical="top" wrapText="1"/>
    </xf>
    <xf numFmtId="0" fontId="34" fillId="0" borderId="6" xfId="0" applyFont="1" applyBorder="1" applyAlignment="1">
      <alignment horizontal="center" vertical="top" wrapText="1"/>
    </xf>
    <xf numFmtId="0" fontId="34" fillId="0" borderId="0" xfId="0" applyFont="1" applyBorder="1" applyAlignment="1">
      <alignment horizontal="center" vertical="top" wrapText="1"/>
    </xf>
    <xf numFmtId="0" fontId="34" fillId="0" borderId="1" xfId="0" applyFont="1" applyBorder="1" applyAlignment="1">
      <alignment horizontal="center" vertical="top" wrapText="1"/>
    </xf>
    <xf numFmtId="0" fontId="34" fillId="0" borderId="74" xfId="0" applyFont="1" applyBorder="1" applyAlignment="1">
      <alignment horizontal="center" vertical="top" wrapText="1"/>
    </xf>
    <xf numFmtId="0" fontId="34" fillId="0" borderId="75" xfId="0" applyFont="1" applyBorder="1" applyAlignment="1">
      <alignment horizontal="center" vertical="top" wrapText="1"/>
    </xf>
    <xf numFmtId="0" fontId="34" fillId="0" borderId="76" xfId="0" applyFont="1" applyBorder="1" applyAlignment="1">
      <alignment horizontal="center" vertical="top" wrapText="1"/>
    </xf>
    <xf numFmtId="0" fontId="0" fillId="0" borderId="48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23" fillId="0" borderId="16" xfId="0" applyFont="1" applyBorder="1" applyAlignment="1">
      <alignment horizontal="center"/>
    </xf>
    <xf numFmtId="0" fontId="23" fillId="0" borderId="17" xfId="0" applyFont="1" applyBorder="1" applyAlignment="1">
      <alignment horizontal="center"/>
    </xf>
    <xf numFmtId="0" fontId="23" fillId="0" borderId="18" xfId="0" applyFont="1" applyBorder="1" applyAlignment="1">
      <alignment horizontal="center"/>
    </xf>
    <xf numFmtId="0" fontId="0" fillId="0" borderId="53" xfId="0" applyBorder="1" applyAlignment="1">
      <alignment horizontal="left" vertical="center"/>
    </xf>
    <xf numFmtId="0" fontId="0" fillId="0" borderId="54" xfId="0" applyBorder="1" applyAlignment="1">
      <alignment horizontal="left" vertical="center"/>
    </xf>
    <xf numFmtId="0" fontId="0" fillId="0" borderId="53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48" xfId="0" applyBorder="1" applyAlignment="1">
      <alignment horizontal="left" vertical="center"/>
    </xf>
    <xf numFmtId="0" fontId="0" fillId="0" borderId="41" xfId="0" applyBorder="1" applyAlignment="1">
      <alignment horizontal="left" vertical="center"/>
    </xf>
    <xf numFmtId="0" fontId="0" fillId="0" borderId="28" xfId="0" applyBorder="1" applyAlignment="1">
      <alignment horizontal="left" vertical="center"/>
    </xf>
    <xf numFmtId="0" fontId="0" fillId="0" borderId="31" xfId="0" applyBorder="1" applyAlignment="1">
      <alignment horizontal="left" vertical="center"/>
    </xf>
    <xf numFmtId="0" fontId="0" fillId="0" borderId="28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9" xfId="0" applyBorder="1" applyAlignment="1">
      <alignment horizontal="left" vertical="center"/>
    </xf>
    <xf numFmtId="0" fontId="0" fillId="0" borderId="32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5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29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0" fillId="0" borderId="55" xfId="0" applyBorder="1" applyAlignment="1">
      <alignment horizontal="left" vertical="center"/>
    </xf>
    <xf numFmtId="0" fontId="0" fillId="0" borderId="56" xfId="0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48" xfId="0" applyBorder="1" applyAlignment="1">
      <alignment vertical="center"/>
    </xf>
    <xf numFmtId="0" fontId="0" fillId="0" borderId="41" xfId="0" applyBorder="1" applyAlignment="1">
      <alignment vertical="center"/>
    </xf>
    <xf numFmtId="0" fontId="0" fillId="0" borderId="50" xfId="0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38" xfId="0" applyBorder="1" applyAlignment="1">
      <alignment horizontal="left" vertical="center"/>
    </xf>
    <xf numFmtId="0" fontId="0" fillId="0" borderId="39" xfId="0" applyBorder="1" applyAlignment="1">
      <alignment horizontal="left" vertical="center"/>
    </xf>
    <xf numFmtId="0" fontId="0" fillId="0" borderId="40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22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38" xfId="0" applyBorder="1" applyAlignment="1">
      <alignment vertical="center"/>
    </xf>
    <xf numFmtId="0" fontId="0" fillId="0" borderId="39" xfId="0" applyBorder="1" applyAlignment="1">
      <alignment vertical="center"/>
    </xf>
    <xf numFmtId="0" fontId="12" fillId="3" borderId="28" xfId="0" applyFont="1" applyFill="1" applyBorder="1" applyAlignment="1">
      <alignment horizontal="center" vertical="center" wrapText="1"/>
    </xf>
    <xf numFmtId="0" fontId="12" fillId="3" borderId="29" xfId="0" applyFont="1" applyFill="1" applyBorder="1" applyAlignment="1">
      <alignment horizontal="center" vertical="center" wrapText="1"/>
    </xf>
    <xf numFmtId="0" fontId="12" fillId="3" borderId="33" xfId="0" applyFont="1" applyFill="1" applyBorder="1" applyAlignment="1">
      <alignment horizontal="center" vertical="center" wrapText="1"/>
    </xf>
    <xf numFmtId="0" fontId="12" fillId="3" borderId="34" xfId="0" applyFont="1" applyFill="1" applyBorder="1" applyAlignment="1">
      <alignment horizontal="center" vertical="center" wrapText="1"/>
    </xf>
    <xf numFmtId="0" fontId="12" fillId="3" borderId="21" xfId="0" applyFont="1" applyFill="1" applyBorder="1" applyAlignment="1">
      <alignment horizontal="center" vertical="center" wrapText="1"/>
    </xf>
    <xf numFmtId="0" fontId="12" fillId="3" borderId="23" xfId="0" applyFont="1" applyFill="1" applyBorder="1" applyAlignment="1">
      <alignment horizontal="center" vertical="center" wrapText="1"/>
    </xf>
    <xf numFmtId="0" fontId="12" fillId="3" borderId="24" xfId="0" applyFont="1" applyFill="1" applyBorder="1" applyAlignment="1">
      <alignment horizontal="center" vertical="center" wrapText="1"/>
    </xf>
    <xf numFmtId="0" fontId="12" fillId="3" borderId="25" xfId="0" applyFont="1" applyFill="1" applyBorder="1" applyAlignment="1">
      <alignment horizontal="center" vertical="center" wrapText="1"/>
    </xf>
    <xf numFmtId="0" fontId="12" fillId="3" borderId="22" xfId="0" applyFont="1" applyFill="1" applyBorder="1" applyAlignment="1">
      <alignment horizontal="center" vertical="center" wrapText="1"/>
    </xf>
    <xf numFmtId="0" fontId="12" fillId="3" borderId="0" xfId="0" applyFont="1" applyFill="1" applyBorder="1" applyAlignment="1">
      <alignment horizontal="center" vertical="center" wrapText="1"/>
    </xf>
    <xf numFmtId="0" fontId="12" fillId="3" borderId="30" xfId="0" applyFont="1" applyFill="1" applyBorder="1" applyAlignment="1">
      <alignment horizontal="center" vertical="center" wrapText="1"/>
    </xf>
    <xf numFmtId="0" fontId="12" fillId="3" borderId="35" xfId="0" applyFont="1" applyFill="1" applyBorder="1" applyAlignment="1">
      <alignment horizontal="center" vertical="center" wrapText="1"/>
    </xf>
    <xf numFmtId="0" fontId="0" fillId="0" borderId="42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0" fontId="21" fillId="0" borderId="22" xfId="0" applyFont="1" applyBorder="1" applyAlignment="1">
      <alignment horizontal="center" vertical="center"/>
    </xf>
    <xf numFmtId="0" fontId="21" fillId="0" borderId="23" xfId="0" applyFont="1" applyBorder="1" applyAlignment="1">
      <alignment horizontal="center" vertical="center"/>
    </xf>
    <xf numFmtId="0" fontId="21" fillId="0" borderId="26" xfId="0" applyFont="1" applyBorder="1" applyAlignment="1">
      <alignment horizontal="center" vertical="center"/>
    </xf>
    <xf numFmtId="0" fontId="21" fillId="0" borderId="20" xfId="0" applyFont="1" applyBorder="1" applyAlignment="1">
      <alignment horizontal="center" vertical="center"/>
    </xf>
    <xf numFmtId="0" fontId="21" fillId="0" borderId="27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/>
    </xf>
    <xf numFmtId="0" fontId="23" fillId="0" borderId="20" xfId="0" applyFont="1" applyBorder="1" applyAlignment="1">
      <alignment horizontal="center"/>
    </xf>
    <xf numFmtId="0" fontId="0" fillId="0" borderId="4" xfId="0" applyBorder="1" applyAlignment="1">
      <alignment horizontal="left" vertical="center"/>
    </xf>
    <xf numFmtId="0" fontId="0" fillId="0" borderId="60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13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0" xfId="0" applyBorder="1" applyAlignment="1">
      <alignment horizontal="left" vertical="center"/>
    </xf>
    <xf numFmtId="0" fontId="0" fillId="0" borderId="51" xfId="0" applyBorder="1" applyAlignment="1">
      <alignment horizontal="left" vertical="center"/>
    </xf>
    <xf numFmtId="0" fontId="0" fillId="0" borderId="45" xfId="0" applyBorder="1" applyAlignment="1">
      <alignment horizontal="left" vertical="center"/>
    </xf>
    <xf numFmtId="0" fontId="0" fillId="0" borderId="33" xfId="0" applyBorder="1" applyAlignment="1">
      <alignment horizontal="left" vertical="center"/>
    </xf>
    <xf numFmtId="0" fontId="0" fillId="0" borderId="34" xfId="0" applyBorder="1" applyAlignment="1">
      <alignment horizontal="left" vertical="center"/>
    </xf>
    <xf numFmtId="0" fontId="0" fillId="0" borderId="61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58" xfId="0" applyBorder="1" applyAlignment="1">
      <alignment horizontal="left" vertical="center"/>
    </xf>
    <xf numFmtId="0" fontId="0" fillId="0" borderId="59" xfId="0" applyBorder="1" applyAlignment="1">
      <alignment horizontal="left" vertical="center"/>
    </xf>
    <xf numFmtId="0" fontId="0" fillId="0" borderId="58" xfId="0" applyBorder="1" applyAlignment="1">
      <alignment horizontal="center" vertical="center"/>
    </xf>
    <xf numFmtId="0" fontId="0" fillId="0" borderId="55" xfId="0" applyBorder="1" applyAlignment="1">
      <alignment horizontal="center"/>
    </xf>
    <xf numFmtId="0" fontId="0" fillId="0" borderId="38" xfId="0" applyBorder="1" applyAlignment="1">
      <alignment horizontal="center" vertical="center"/>
    </xf>
    <xf numFmtId="0" fontId="0" fillId="0" borderId="37" xfId="0" applyFont="1" applyFill="1" applyBorder="1" applyAlignment="1">
      <alignment horizontal="center" vertical="center" wrapText="1"/>
    </xf>
    <xf numFmtId="0" fontId="0" fillId="0" borderId="46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0" fontId="0" fillId="0" borderId="51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52" xfId="0" applyBorder="1" applyAlignment="1">
      <alignment horizontal="center"/>
    </xf>
    <xf numFmtId="0" fontId="12" fillId="0" borderId="21" xfId="0" applyFont="1" applyFill="1" applyBorder="1" applyAlignment="1">
      <alignment horizontal="center" vertical="center" wrapText="1"/>
    </xf>
    <xf numFmtId="0" fontId="12" fillId="0" borderId="23" xfId="0" applyFont="1" applyFill="1" applyBorder="1" applyAlignment="1">
      <alignment horizontal="center" vertical="center" wrapText="1"/>
    </xf>
    <xf numFmtId="0" fontId="12" fillId="0" borderId="24" xfId="0" applyFont="1" applyFill="1" applyBorder="1" applyAlignment="1">
      <alignment horizontal="center" vertical="center" wrapText="1"/>
    </xf>
    <xf numFmtId="0" fontId="12" fillId="0" borderId="25" xfId="0" applyFont="1" applyFill="1" applyBorder="1" applyAlignment="1">
      <alignment horizontal="center" vertical="center" wrapText="1"/>
    </xf>
    <xf numFmtId="0" fontId="12" fillId="0" borderId="26" xfId="0" applyFont="1" applyFill="1" applyBorder="1" applyAlignment="1">
      <alignment horizontal="center" vertical="center" wrapText="1"/>
    </xf>
    <xf numFmtId="0" fontId="12" fillId="0" borderId="27" xfId="0" applyFont="1" applyFill="1" applyBorder="1" applyAlignment="1">
      <alignment horizontal="center" vertical="center" wrapText="1"/>
    </xf>
    <xf numFmtId="0" fontId="0" fillId="0" borderId="48" xfId="0" applyFont="1" applyFill="1" applyBorder="1" applyAlignment="1">
      <alignment horizontal="left" vertical="center" wrapText="1"/>
    </xf>
    <xf numFmtId="0" fontId="0" fillId="0" borderId="41" xfId="0" applyFont="1" applyFill="1" applyBorder="1" applyAlignment="1">
      <alignment horizontal="left" vertical="center" wrapText="1"/>
    </xf>
    <xf numFmtId="0" fontId="12" fillId="0" borderId="48" xfId="0" applyFont="1" applyFill="1" applyBorder="1" applyAlignment="1">
      <alignment horizontal="center" vertical="center" wrapText="1"/>
    </xf>
    <xf numFmtId="0" fontId="12" fillId="0" borderId="41" xfId="0" applyFont="1" applyFill="1" applyBorder="1" applyAlignment="1">
      <alignment horizontal="center" vertical="center" wrapText="1"/>
    </xf>
    <xf numFmtId="0" fontId="0" fillId="0" borderId="21" xfId="0" applyFont="1" applyFill="1" applyBorder="1" applyAlignment="1">
      <alignment horizontal="center" vertical="center" wrapText="1"/>
    </xf>
    <xf numFmtId="0" fontId="0" fillId="0" borderId="24" xfId="0" applyFont="1" applyFill="1" applyBorder="1" applyAlignment="1">
      <alignment horizontal="center" vertical="center" wrapText="1"/>
    </xf>
    <xf numFmtId="0" fontId="0" fillId="0" borderId="26" xfId="0" applyFont="1" applyFill="1" applyBorder="1" applyAlignment="1">
      <alignment horizontal="center" vertical="center" wrapText="1"/>
    </xf>
    <xf numFmtId="0" fontId="0" fillId="0" borderId="48" xfId="0" applyFont="1" applyFill="1" applyBorder="1" applyAlignment="1">
      <alignment horizontal="center" vertical="center" wrapText="1"/>
    </xf>
    <xf numFmtId="0" fontId="0" fillId="0" borderId="41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0" fontId="12" fillId="3" borderId="31" xfId="0" applyFont="1" applyFill="1" applyBorder="1" applyAlignment="1">
      <alignment horizontal="center" vertical="center" wrapText="1"/>
    </xf>
    <xf numFmtId="0" fontId="12" fillId="3" borderId="36" xfId="0" applyFont="1" applyFill="1" applyBorder="1" applyAlignment="1">
      <alignment horizontal="center" vertical="center" wrapText="1"/>
    </xf>
    <xf numFmtId="0" fontId="12" fillId="3" borderId="32" xfId="0" applyFont="1" applyFill="1" applyBorder="1" applyAlignment="1">
      <alignment horizontal="center" vertical="center" wrapText="1"/>
    </xf>
    <xf numFmtId="0" fontId="12" fillId="3" borderId="8" xfId="0" applyFont="1" applyFill="1" applyBorder="1" applyAlignment="1">
      <alignment horizontal="center" vertical="center" wrapText="1"/>
    </xf>
    <xf numFmtId="0" fontId="12" fillId="3" borderId="37" xfId="0" applyFont="1" applyFill="1" applyBorder="1" applyAlignment="1">
      <alignment horizontal="center" vertical="center" wrapText="1"/>
    </xf>
    <xf numFmtId="0" fontId="0" fillId="0" borderId="13" xfId="0" applyBorder="1" applyAlignment="1">
      <alignment horizontal="center"/>
    </xf>
    <xf numFmtId="0" fontId="12" fillId="3" borderId="26" xfId="0" applyFont="1" applyFill="1" applyBorder="1" applyAlignment="1">
      <alignment horizontal="center" vertical="center" wrapText="1"/>
    </xf>
    <xf numFmtId="0" fontId="12" fillId="3" borderId="27" xfId="0" applyFont="1" applyFill="1" applyBorder="1" applyAlignment="1">
      <alignment horizontal="center" vertical="center" wrapText="1"/>
    </xf>
    <xf numFmtId="0" fontId="12" fillId="3" borderId="20" xfId="0" applyFont="1" applyFill="1" applyBorder="1" applyAlignment="1">
      <alignment horizontal="center" vertical="center" wrapText="1"/>
    </xf>
    <xf numFmtId="0" fontId="0" fillId="0" borderId="37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colors>
    <mruColors>
      <color rgb="FFBDF2FF"/>
      <color rgb="FF00CCFF"/>
      <color rgb="FFCCFF99"/>
      <color rgb="FF0000CC"/>
      <color rgb="FFFFFFCC"/>
      <color rgb="FFFFFF99"/>
      <color rgb="FF66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png"/><Relationship Id="rId3" Type="http://schemas.openxmlformats.org/officeDocument/2006/relationships/image" Target="../media/image8.tmp"/><Relationship Id="rId7" Type="http://schemas.openxmlformats.org/officeDocument/2006/relationships/image" Target="../media/image2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6" Type="http://schemas.openxmlformats.org/officeDocument/2006/relationships/image" Target="../media/image1.pn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11</xdr:row>
          <xdr:rowOff>190500</xdr:rowOff>
        </xdr:from>
        <xdr:to>
          <xdr:col>13</xdr:col>
          <xdr:colOff>28575</xdr:colOff>
          <xdr:row>12</xdr:row>
          <xdr:rowOff>228600</xdr:rowOff>
        </xdr:to>
        <xdr:sp macro="" textlink="">
          <xdr:nvSpPr>
            <xdr:cNvPr id="15368" name="Check Box 8" hidden="1">
              <a:extLst>
                <a:ext uri="{63B3BB69-23CF-44E3-9099-C40C66FF867C}">
                  <a14:compatExt spid="_x0000_s15368"/>
                </a:ext>
                <a:ext uri="{FF2B5EF4-FFF2-40B4-BE49-F238E27FC236}">
                  <a16:creationId xmlns:a16="http://schemas.microsoft.com/office/drawing/2014/main" id="{00000000-0008-0000-0500-000008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New item/s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9525</xdr:colOff>
          <xdr:row>12</xdr:row>
          <xdr:rowOff>57150</xdr:rowOff>
        </xdr:from>
        <xdr:to>
          <xdr:col>18</xdr:col>
          <xdr:colOff>66675</xdr:colOff>
          <xdr:row>12</xdr:row>
          <xdr:rowOff>238125</xdr:rowOff>
        </xdr:to>
        <xdr:sp macro="" textlink="">
          <xdr:nvSpPr>
            <xdr:cNvPr id="15371" name="Check Box 11" hidden="1">
              <a:extLst>
                <a:ext uri="{63B3BB69-23CF-44E3-9099-C40C66FF867C}">
                  <a14:compatExt spid="_x0000_s15371"/>
                </a:ext>
                <a:ext uri="{FF2B5EF4-FFF2-40B4-BE49-F238E27FC236}">
                  <a16:creationId xmlns:a16="http://schemas.microsoft.com/office/drawing/2014/main" id="{00000000-0008-0000-0500-00000B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Urgent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9525</xdr:colOff>
          <xdr:row>12</xdr:row>
          <xdr:rowOff>257175</xdr:rowOff>
        </xdr:from>
        <xdr:to>
          <xdr:col>19</xdr:col>
          <xdr:colOff>66675</xdr:colOff>
          <xdr:row>14</xdr:row>
          <xdr:rowOff>85725</xdr:rowOff>
        </xdr:to>
        <xdr:sp macro="" textlink="">
          <xdr:nvSpPr>
            <xdr:cNvPr id="15372" name="Check Box 12" hidden="1">
              <a:extLst>
                <a:ext uri="{63B3BB69-23CF-44E3-9099-C40C66FF867C}">
                  <a14:compatExt spid="_x0000_s15372"/>
                </a:ext>
                <a:ext uri="{FF2B5EF4-FFF2-40B4-BE49-F238E27FC236}">
                  <a16:creationId xmlns:a16="http://schemas.microsoft.com/office/drawing/2014/main" id="{00000000-0008-0000-0500-00000C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Not Urgent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95</xdr:row>
          <xdr:rowOff>76200</xdr:rowOff>
        </xdr:from>
        <xdr:to>
          <xdr:col>14</xdr:col>
          <xdr:colOff>333375</xdr:colOff>
          <xdr:row>96</xdr:row>
          <xdr:rowOff>142875</xdr:rowOff>
        </xdr:to>
        <xdr:sp macro="" textlink="">
          <xdr:nvSpPr>
            <xdr:cNvPr id="15378" name="Check Box 18" hidden="1">
              <a:extLst>
                <a:ext uri="{63B3BB69-23CF-44E3-9099-C40C66FF867C}">
                  <a14:compatExt spid="_x0000_s15378"/>
                </a:ext>
                <a:ext uri="{FF2B5EF4-FFF2-40B4-BE49-F238E27FC236}">
                  <a16:creationId xmlns:a16="http://schemas.microsoft.com/office/drawing/2014/main" id="{00000000-0008-0000-0500-000012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Cancelled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15</xdr:row>
          <xdr:rowOff>76200</xdr:rowOff>
        </xdr:from>
        <xdr:to>
          <xdr:col>13</xdr:col>
          <xdr:colOff>95250</xdr:colOff>
          <xdr:row>17</xdr:row>
          <xdr:rowOff>66675</xdr:rowOff>
        </xdr:to>
        <xdr:sp macro="" textlink="">
          <xdr:nvSpPr>
            <xdr:cNvPr id="15380" name="Check Box 20" hidden="1">
              <a:extLst>
                <a:ext uri="{63B3BB69-23CF-44E3-9099-C40C66FF867C}">
                  <a14:compatExt spid="_x0000_s15380"/>
                </a:ext>
                <a:ext uri="{FF2B5EF4-FFF2-40B4-BE49-F238E27FC236}">
                  <a16:creationId xmlns:a16="http://schemas.microsoft.com/office/drawing/2014/main" id="{00000000-0008-0000-0500-000014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Modification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18</xdr:row>
          <xdr:rowOff>123825</xdr:rowOff>
        </xdr:from>
        <xdr:to>
          <xdr:col>13</xdr:col>
          <xdr:colOff>66675</xdr:colOff>
          <xdr:row>19</xdr:row>
          <xdr:rowOff>142875</xdr:rowOff>
        </xdr:to>
        <xdr:sp macro="" textlink="">
          <xdr:nvSpPr>
            <xdr:cNvPr id="15381" name="Check Box 21" hidden="1">
              <a:extLst>
                <a:ext uri="{63B3BB69-23CF-44E3-9099-C40C66FF867C}">
                  <a14:compatExt spid="_x0000_s15381"/>
                </a:ext>
                <a:ext uri="{FF2B5EF4-FFF2-40B4-BE49-F238E27FC236}">
                  <a16:creationId xmlns:a16="http://schemas.microsoft.com/office/drawing/2014/main" id="{00000000-0008-0000-0500-000015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Disassembly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17</xdr:row>
          <xdr:rowOff>95250</xdr:rowOff>
        </xdr:from>
        <xdr:to>
          <xdr:col>14</xdr:col>
          <xdr:colOff>28575</xdr:colOff>
          <xdr:row>18</xdr:row>
          <xdr:rowOff>104775</xdr:rowOff>
        </xdr:to>
        <xdr:sp macro="" textlink="">
          <xdr:nvSpPr>
            <xdr:cNvPr id="15382" name="Check Box 22" hidden="1">
              <a:extLst>
                <a:ext uri="{63B3BB69-23CF-44E3-9099-C40C66FF867C}">
                  <a14:compatExt spid="_x0000_s15382"/>
                </a:ext>
                <a:ext uri="{FF2B5EF4-FFF2-40B4-BE49-F238E27FC236}">
                  <a16:creationId xmlns:a16="http://schemas.microsoft.com/office/drawing/2014/main" id="{00000000-0008-0000-0500-000016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Line set-up support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9525</xdr:colOff>
          <xdr:row>12</xdr:row>
          <xdr:rowOff>9525</xdr:rowOff>
        </xdr:from>
        <xdr:to>
          <xdr:col>27</xdr:col>
          <xdr:colOff>85725</xdr:colOff>
          <xdr:row>12</xdr:row>
          <xdr:rowOff>228600</xdr:rowOff>
        </xdr:to>
        <xdr:sp macro="" textlink="">
          <xdr:nvSpPr>
            <xdr:cNvPr id="15383" name="Check Box 23" hidden="1">
              <a:extLst>
                <a:ext uri="{63B3BB69-23CF-44E3-9099-C40C66FF867C}">
                  <a14:compatExt spid="_x0000_s15383"/>
                </a:ext>
                <a:ext uri="{FF2B5EF4-FFF2-40B4-BE49-F238E27FC236}">
                  <a16:creationId xmlns:a16="http://schemas.microsoft.com/office/drawing/2014/main" id="{00000000-0008-0000-0500-000017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Can work even with production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9525</xdr:colOff>
          <xdr:row>12</xdr:row>
          <xdr:rowOff>247650</xdr:rowOff>
        </xdr:from>
        <xdr:to>
          <xdr:col>27</xdr:col>
          <xdr:colOff>85725</xdr:colOff>
          <xdr:row>14</xdr:row>
          <xdr:rowOff>95250</xdr:rowOff>
        </xdr:to>
        <xdr:sp macro="" textlink="">
          <xdr:nvSpPr>
            <xdr:cNvPr id="15384" name="Check Box 24" hidden="1">
              <a:extLst>
                <a:ext uri="{63B3BB69-23CF-44E3-9099-C40C66FF867C}">
                  <a14:compatExt spid="_x0000_s15384"/>
                </a:ext>
                <a:ext uri="{FF2B5EF4-FFF2-40B4-BE49-F238E27FC236}">
                  <a16:creationId xmlns:a16="http://schemas.microsoft.com/office/drawing/2014/main" id="{00000000-0008-0000-0500-000018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Can work only w/o production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93</xdr:row>
          <xdr:rowOff>104775</xdr:rowOff>
        </xdr:from>
        <xdr:to>
          <xdr:col>14</xdr:col>
          <xdr:colOff>342900</xdr:colOff>
          <xdr:row>94</xdr:row>
          <xdr:rowOff>171450</xdr:rowOff>
        </xdr:to>
        <xdr:sp macro="" textlink="">
          <xdr:nvSpPr>
            <xdr:cNvPr id="15387" name="Check Box 27" hidden="1">
              <a:extLst>
                <a:ext uri="{63B3BB69-23CF-44E3-9099-C40C66FF867C}">
                  <a14:compatExt spid="_x0000_s15387"/>
                </a:ext>
                <a:ext uri="{FF2B5EF4-FFF2-40B4-BE49-F238E27FC236}">
                  <a16:creationId xmlns:a16="http://schemas.microsoft.com/office/drawing/2014/main" id="{00000000-0008-0000-0500-00001B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Approved</a:t>
              </a:r>
            </a:p>
          </xdr:txBody>
        </xdr:sp>
        <xdr:clientData/>
      </xdr:twoCellAnchor>
    </mc:Choice>
    <mc:Fallback/>
  </mc:AlternateContent>
  <xdr:twoCellAnchor>
    <xdr:from>
      <xdr:col>1</xdr:col>
      <xdr:colOff>182196</xdr:colOff>
      <xdr:row>108</xdr:row>
      <xdr:rowOff>96420</xdr:rowOff>
    </xdr:from>
    <xdr:to>
      <xdr:col>5</xdr:col>
      <xdr:colOff>233795</xdr:colOff>
      <xdr:row>110</xdr:row>
      <xdr:rowOff>111058</xdr:rowOff>
    </xdr:to>
    <xdr:sp macro="" textlink="">
      <xdr:nvSpPr>
        <xdr:cNvPr id="27" name="Text Box 1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SpPr txBox="1">
          <a:spLocks noChangeArrowheads="1"/>
        </xdr:cNvSpPr>
      </xdr:nvSpPr>
      <xdr:spPr bwMode="auto">
        <a:xfrm>
          <a:off x="240512" y="11681930"/>
          <a:ext cx="1402594" cy="325659"/>
        </a:xfrm>
        <a:prstGeom prst="rect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ctr" upright="1"/>
        <a:lstStyle/>
        <a:p>
          <a:pPr algn="ctr" rtl="0">
            <a:lnSpc>
              <a:spcPts val="1100"/>
            </a:lnSpc>
            <a:defRPr sz="1000"/>
          </a:pPr>
          <a:r>
            <a:rPr lang="en-PH" sz="800" b="0" i="0" u="none" strike="noStrike" baseline="0">
              <a:solidFill>
                <a:srgbClr val="000000"/>
              </a:solidFill>
              <a:latin typeface="Calibri"/>
            </a:rPr>
            <a:t>Select item/s from Common Sample </a:t>
          </a:r>
        </a:p>
      </xdr:txBody>
    </xdr:sp>
    <xdr:clientData/>
  </xdr:twoCellAnchor>
  <xdr:twoCellAnchor>
    <xdr:from>
      <xdr:col>3</xdr:col>
      <xdr:colOff>134193</xdr:colOff>
      <xdr:row>110</xdr:row>
      <xdr:rowOff>111058</xdr:rowOff>
    </xdr:from>
    <xdr:to>
      <xdr:col>3</xdr:col>
      <xdr:colOff>136005</xdr:colOff>
      <xdr:row>111</xdr:row>
      <xdr:rowOff>123917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00000000-0008-0000-0500-00001C000000}"/>
            </a:ext>
          </a:extLst>
        </xdr:cNvPr>
        <xdr:cNvCxnSpPr>
          <a:stCxn id="27" idx="2"/>
          <a:endCxn id="36" idx="0"/>
        </xdr:cNvCxnSpPr>
      </xdr:nvCxnSpPr>
      <xdr:spPr>
        <a:xfrm flipH="1">
          <a:off x="942710" y="11895477"/>
          <a:ext cx="1812" cy="167917"/>
        </a:xfrm>
        <a:prstGeom prst="straightConnector1">
          <a:avLst/>
        </a:prstGeom>
        <a:ln w="635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237675</xdr:colOff>
      <xdr:row>111</xdr:row>
      <xdr:rowOff>109316</xdr:rowOff>
    </xdr:from>
    <xdr:ext cx="331886" cy="217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0000000-0008-0000-0500-00001D000000}"/>
            </a:ext>
          </a:extLst>
        </xdr:cNvPr>
        <xdr:cNvSpPr txBox="1"/>
      </xdr:nvSpPr>
      <xdr:spPr>
        <a:xfrm>
          <a:off x="1411687" y="12048793"/>
          <a:ext cx="331886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800"/>
            <a:t>YES</a:t>
          </a:r>
        </a:p>
      </xdr:txBody>
    </xdr:sp>
    <xdr:clientData/>
  </xdr:oneCellAnchor>
  <xdr:twoCellAnchor>
    <xdr:from>
      <xdr:col>1</xdr:col>
      <xdr:colOff>315103</xdr:colOff>
      <xdr:row>105</xdr:row>
      <xdr:rowOff>61996</xdr:rowOff>
    </xdr:from>
    <xdr:to>
      <xdr:col>5</xdr:col>
      <xdr:colOff>104686</xdr:colOff>
      <xdr:row>107</xdr:row>
      <xdr:rowOff>58317</xdr:rowOff>
    </xdr:to>
    <xdr:sp macro="" textlink="">
      <xdr:nvSpPr>
        <xdr:cNvPr id="30" name="Text Box 1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SpPr txBox="1">
          <a:spLocks noChangeArrowheads="1"/>
        </xdr:cNvSpPr>
      </xdr:nvSpPr>
      <xdr:spPr bwMode="auto">
        <a:xfrm>
          <a:off x="373419" y="11180976"/>
          <a:ext cx="1140578" cy="307341"/>
        </a:xfrm>
        <a:prstGeom prst="rect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ctr" upright="1"/>
        <a:lstStyle/>
        <a:p>
          <a:pPr algn="ctr" rtl="0">
            <a:lnSpc>
              <a:spcPts val="1100"/>
            </a:lnSpc>
            <a:defRPr sz="1000"/>
          </a:pPr>
          <a:r>
            <a:rPr lang="en-PH" sz="800" b="0" i="0" u="none" strike="noStrike" baseline="0">
              <a:solidFill>
                <a:srgbClr val="000000"/>
              </a:solidFill>
              <a:latin typeface="+mn-lt"/>
            </a:rPr>
            <a:t>Fill out Request form</a:t>
          </a:r>
        </a:p>
      </xdr:txBody>
    </xdr:sp>
    <xdr:clientData/>
  </xdr:twoCellAnchor>
  <xdr:twoCellAnchor>
    <xdr:from>
      <xdr:col>7</xdr:col>
      <xdr:colOff>180461</xdr:colOff>
      <xdr:row>104</xdr:row>
      <xdr:rowOff>139322</xdr:rowOff>
    </xdr:from>
    <xdr:to>
      <xdr:col>8</xdr:col>
      <xdr:colOff>55382</xdr:colOff>
      <xdr:row>111</xdr:row>
      <xdr:rowOff>77525</xdr:rowOff>
    </xdr:to>
    <xdr:cxnSp macro="">
      <xdr:nvCxnSpPr>
        <xdr:cNvPr id="32" name="Elbow Connector 12">
          <a:extLst>
            <a:ext uri="{FF2B5EF4-FFF2-40B4-BE49-F238E27FC236}">
              <a16:creationId xmlns:a16="http://schemas.microsoft.com/office/drawing/2014/main" id="{00000000-0008-0000-0500-000020000000}"/>
            </a:ext>
          </a:extLst>
        </xdr:cNvPr>
        <xdr:cNvCxnSpPr>
          <a:stCxn id="67" idx="0"/>
          <a:endCxn id="70" idx="1"/>
        </xdr:cNvCxnSpPr>
      </xdr:nvCxnSpPr>
      <xdr:spPr>
        <a:xfrm rot="5400000" flipH="1" flipV="1">
          <a:off x="1632948" y="11445905"/>
          <a:ext cx="1023610" cy="118584"/>
        </a:xfrm>
        <a:prstGeom prst="bentConnector2">
          <a:avLst/>
        </a:prstGeom>
        <a:ln w="635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</xdr:col>
      <xdr:colOff>202800</xdr:colOff>
      <xdr:row>113</xdr:row>
      <xdr:rowOff>131985</xdr:rowOff>
    </xdr:from>
    <xdr:ext cx="318805" cy="217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00000000-0008-0000-0500-000021000000}"/>
            </a:ext>
          </a:extLst>
        </xdr:cNvPr>
        <xdr:cNvSpPr txBox="1"/>
      </xdr:nvSpPr>
      <xdr:spPr>
        <a:xfrm>
          <a:off x="645823" y="12381578"/>
          <a:ext cx="318805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800"/>
            <a:t>NO</a:t>
          </a:r>
        </a:p>
      </xdr:txBody>
    </xdr:sp>
    <xdr:clientData/>
  </xdr:oneCellAnchor>
  <xdr:twoCellAnchor>
    <xdr:from>
      <xdr:col>3</xdr:col>
      <xdr:colOff>133613</xdr:colOff>
      <xdr:row>114</xdr:row>
      <xdr:rowOff>29127</xdr:rowOff>
    </xdr:from>
    <xdr:to>
      <xdr:col>3</xdr:col>
      <xdr:colOff>134193</xdr:colOff>
      <xdr:row>115</xdr:row>
      <xdr:rowOff>99683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CxnSpPr>
          <a:cxnSpLocks/>
          <a:stCxn id="36" idx="2"/>
          <a:endCxn id="35" idx="0"/>
        </xdr:cNvCxnSpPr>
      </xdr:nvCxnSpPr>
      <xdr:spPr>
        <a:xfrm flipH="1">
          <a:off x="942130" y="12433778"/>
          <a:ext cx="580" cy="170236"/>
        </a:xfrm>
        <a:prstGeom prst="straightConnector1">
          <a:avLst/>
        </a:prstGeom>
        <a:ln w="635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245071</xdr:colOff>
      <xdr:row>115</xdr:row>
      <xdr:rowOff>99683</xdr:rowOff>
    </xdr:from>
    <xdr:to>
      <xdr:col>4</xdr:col>
      <xdr:colOff>22153</xdr:colOff>
      <xdr:row>118</xdr:row>
      <xdr:rowOff>55602</xdr:rowOff>
    </xdr:to>
    <xdr:sp macro="" textlink="">
      <xdr:nvSpPr>
        <xdr:cNvPr id="35" name="Text Box 1">
          <a:extLst>
            <a:ext uri="{FF2B5EF4-FFF2-40B4-BE49-F238E27FC236}">
              <a16:creationId xmlns:a16="http://schemas.microsoft.com/office/drawing/2014/main" id="{00000000-0008-0000-0500-000023000000}"/>
            </a:ext>
          </a:extLst>
        </xdr:cNvPr>
        <xdr:cNvSpPr txBox="1">
          <a:spLocks noChangeArrowheads="1"/>
        </xdr:cNvSpPr>
      </xdr:nvSpPr>
      <xdr:spPr bwMode="auto">
        <a:xfrm>
          <a:off x="688094" y="12604014"/>
          <a:ext cx="508071" cy="332489"/>
        </a:xfrm>
        <a:prstGeom prst="rect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ctr" upright="1"/>
        <a:lstStyle/>
        <a:p>
          <a:pPr algn="ctr" rtl="0">
            <a:lnSpc>
              <a:spcPts val="1100"/>
            </a:lnSpc>
            <a:defRPr sz="1000"/>
          </a:pPr>
          <a:r>
            <a:rPr lang="en-PH" sz="800" b="0" i="0" u="none" strike="noStrike" baseline="0">
              <a:solidFill>
                <a:srgbClr val="000000"/>
              </a:solidFill>
              <a:latin typeface="+mn-lt"/>
            </a:rPr>
            <a:t>Provide Layout </a:t>
          </a:r>
        </a:p>
      </xdr:txBody>
    </xdr:sp>
    <xdr:clientData/>
  </xdr:twoCellAnchor>
  <xdr:twoCellAnchor>
    <xdr:from>
      <xdr:col>1</xdr:col>
      <xdr:colOff>323758</xdr:colOff>
      <xdr:row>111</xdr:row>
      <xdr:rowOff>123917</xdr:rowOff>
    </xdr:from>
    <xdr:to>
      <xdr:col>5</xdr:col>
      <xdr:colOff>88610</xdr:colOff>
      <xdr:row>114</xdr:row>
      <xdr:rowOff>29127</xdr:rowOff>
    </xdr:to>
    <xdr:sp macro="" textlink="">
      <xdr:nvSpPr>
        <xdr:cNvPr id="36" name="Flowchart: Decision 35">
          <a:extLst>
            <a:ext uri="{FF2B5EF4-FFF2-40B4-BE49-F238E27FC236}">
              <a16:creationId xmlns:a16="http://schemas.microsoft.com/office/drawing/2014/main" id="{00000000-0008-0000-0500-000024000000}"/>
            </a:ext>
          </a:extLst>
        </xdr:cNvPr>
        <xdr:cNvSpPr/>
      </xdr:nvSpPr>
      <xdr:spPr>
        <a:xfrm>
          <a:off x="379136" y="12063394"/>
          <a:ext cx="1127148" cy="370384"/>
        </a:xfrm>
        <a:prstGeom prst="flowChartDecision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PH" sz="800">
              <a:solidFill>
                <a:sysClr val="windowText" lastClr="000000"/>
              </a:solidFill>
            </a:rPr>
            <a:t>Common Item?</a:t>
          </a:r>
        </a:p>
      </xdr:txBody>
    </xdr:sp>
    <xdr:clientData/>
  </xdr:twoCellAnchor>
  <xdr:twoCellAnchor>
    <xdr:from>
      <xdr:col>17</xdr:col>
      <xdr:colOff>13718</xdr:colOff>
      <xdr:row>109</xdr:row>
      <xdr:rowOff>40545</xdr:rowOff>
    </xdr:from>
    <xdr:to>
      <xdr:col>20</xdr:col>
      <xdr:colOff>19452</xdr:colOff>
      <xdr:row>113</xdr:row>
      <xdr:rowOff>29149</xdr:rowOff>
    </xdr:to>
    <xdr:sp macro="" textlink="">
      <xdr:nvSpPr>
        <xdr:cNvPr id="37" name="Text Box 2">
          <a:extLst>
            <a:ext uri="{FF2B5EF4-FFF2-40B4-BE49-F238E27FC236}">
              <a16:creationId xmlns:a16="http://schemas.microsoft.com/office/drawing/2014/main" id="{00000000-0008-0000-0500-000025000000}"/>
            </a:ext>
          </a:extLst>
        </xdr:cNvPr>
        <xdr:cNvSpPr txBox="1">
          <a:spLocks noChangeArrowheads="1"/>
        </xdr:cNvSpPr>
      </xdr:nvSpPr>
      <xdr:spPr bwMode="auto">
        <a:xfrm>
          <a:off x="4756779" y="11781565"/>
          <a:ext cx="851321" cy="610645"/>
        </a:xfrm>
        <a:prstGeom prst="rect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36576" rIns="0" bIns="0" anchor="ctr" upright="1"/>
        <a:lstStyle/>
        <a:p>
          <a:pPr algn="ctr" rtl="0">
            <a:defRPr sz="1000"/>
          </a:pPr>
          <a:r>
            <a:rPr lang="en-PH" sz="800" b="0" i="0" u="none" strike="noStrike" baseline="0">
              <a:solidFill>
                <a:srgbClr val="000000"/>
              </a:solidFill>
              <a:latin typeface="+mn-lt"/>
            </a:rPr>
            <a:t>Submit the application form &amp; applying slip to BPS Fabrication Group</a:t>
          </a:r>
        </a:p>
      </xdr:txBody>
    </xdr:sp>
    <xdr:clientData/>
  </xdr:twoCellAnchor>
  <xdr:twoCellAnchor>
    <xdr:from>
      <xdr:col>12</xdr:col>
      <xdr:colOff>216555</xdr:colOff>
      <xdr:row>104</xdr:row>
      <xdr:rowOff>133131</xdr:rowOff>
    </xdr:from>
    <xdr:to>
      <xdr:col>13</xdr:col>
      <xdr:colOff>89074</xdr:colOff>
      <xdr:row>104</xdr:row>
      <xdr:rowOff>139322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00000000-0008-0000-0500-000026000000}"/>
            </a:ext>
          </a:extLst>
        </xdr:cNvPr>
        <xdr:cNvCxnSpPr>
          <a:stCxn id="70" idx="3"/>
          <a:endCxn id="83" idx="1"/>
        </xdr:cNvCxnSpPr>
      </xdr:nvCxnSpPr>
      <xdr:spPr>
        <a:xfrm flipV="1">
          <a:off x="3450625" y="10987201"/>
          <a:ext cx="171559" cy="6191"/>
        </a:xfrm>
        <a:prstGeom prst="straightConnector1">
          <a:avLst/>
        </a:prstGeom>
        <a:ln w="635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13593</xdr:colOff>
      <xdr:row>104</xdr:row>
      <xdr:rowOff>42602</xdr:rowOff>
    </xdr:from>
    <xdr:to>
      <xdr:col>20</xdr:col>
      <xdr:colOff>9734</xdr:colOff>
      <xdr:row>107</xdr:row>
      <xdr:rowOff>58906</xdr:rowOff>
    </xdr:to>
    <xdr:sp macro="" textlink="">
      <xdr:nvSpPr>
        <xdr:cNvPr id="39" name="Text Box 1">
          <a:extLst>
            <a:ext uri="{FF2B5EF4-FFF2-40B4-BE49-F238E27FC236}">
              <a16:creationId xmlns:a16="http://schemas.microsoft.com/office/drawing/2014/main" id="{00000000-0008-0000-0500-000027000000}"/>
            </a:ext>
          </a:extLst>
        </xdr:cNvPr>
        <xdr:cNvSpPr txBox="1">
          <a:spLocks noChangeArrowheads="1"/>
        </xdr:cNvSpPr>
      </xdr:nvSpPr>
      <xdr:spPr bwMode="auto">
        <a:xfrm>
          <a:off x="4756654" y="11006071"/>
          <a:ext cx="841728" cy="482835"/>
        </a:xfrm>
        <a:prstGeom prst="rect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ctr" upright="1"/>
        <a:lstStyle/>
        <a:p>
          <a:pPr algn="ctr" rtl="0">
            <a:lnSpc>
              <a:spcPts val="1100"/>
            </a:lnSpc>
            <a:defRPr sz="1000"/>
          </a:pPr>
          <a:r>
            <a:rPr lang="en-PH" sz="800" b="0" i="0" u="none" strike="noStrike" baseline="0">
              <a:solidFill>
                <a:srgbClr val="000000"/>
              </a:solidFill>
              <a:latin typeface="+mn-lt"/>
            </a:rPr>
            <a:t>Secure approval from section supervisor </a:t>
          </a:r>
        </a:p>
      </xdr:txBody>
    </xdr:sp>
    <xdr:clientData/>
  </xdr:twoCellAnchor>
  <xdr:twoCellAnchor>
    <xdr:from>
      <xdr:col>3</xdr:col>
      <xdr:colOff>132657</xdr:colOff>
      <xdr:row>104</xdr:row>
      <xdr:rowOff>48596</xdr:rowOff>
    </xdr:from>
    <xdr:to>
      <xdr:col>3</xdr:col>
      <xdr:colOff>136999</xdr:colOff>
      <xdr:row>105</xdr:row>
      <xdr:rowOff>61996</xdr:rowOff>
    </xdr:to>
    <xdr:cxnSp macro="">
      <xdr:nvCxnSpPr>
        <xdr:cNvPr id="40" name="Straight Arrow Connector 39">
          <a:extLst>
            <a:ext uri="{FF2B5EF4-FFF2-40B4-BE49-F238E27FC236}">
              <a16:creationId xmlns:a16="http://schemas.microsoft.com/office/drawing/2014/main" id="{00000000-0008-0000-0500-000028000000}"/>
            </a:ext>
          </a:extLst>
        </xdr:cNvPr>
        <xdr:cNvCxnSpPr>
          <a:stCxn id="5" idx="2"/>
          <a:endCxn id="30" idx="0"/>
        </xdr:cNvCxnSpPr>
      </xdr:nvCxnSpPr>
      <xdr:spPr>
        <a:xfrm>
          <a:off x="939366" y="11012065"/>
          <a:ext cx="4342" cy="168911"/>
        </a:xfrm>
        <a:prstGeom prst="straightConnector1">
          <a:avLst/>
        </a:prstGeom>
        <a:ln w="635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243000</xdr:colOff>
      <xdr:row>114</xdr:row>
      <xdr:rowOff>58317</xdr:rowOff>
    </xdr:from>
    <xdr:to>
      <xdr:col>20</xdr:col>
      <xdr:colOff>77770</xdr:colOff>
      <xdr:row>119</xdr:row>
      <xdr:rowOff>19439</xdr:rowOff>
    </xdr:to>
    <xdr:sp macro="" textlink="">
      <xdr:nvSpPr>
        <xdr:cNvPr id="41" name="Text Box 2">
          <a:extLst>
            <a:ext uri="{FF2B5EF4-FFF2-40B4-BE49-F238E27FC236}">
              <a16:creationId xmlns:a16="http://schemas.microsoft.com/office/drawing/2014/main" id="{00000000-0008-0000-0500-000029000000}"/>
            </a:ext>
          </a:extLst>
        </xdr:cNvPr>
        <xdr:cNvSpPr txBox="1">
          <a:spLocks noChangeArrowheads="1"/>
        </xdr:cNvSpPr>
      </xdr:nvSpPr>
      <xdr:spPr bwMode="auto">
        <a:xfrm>
          <a:off x="4704199" y="12576888"/>
          <a:ext cx="962219" cy="524847"/>
        </a:xfrm>
        <a:prstGeom prst="rect">
          <a:avLst/>
        </a:prstGeom>
        <a:solidFill>
          <a:schemeClr val="bg1"/>
        </a:solidFill>
        <a:ln w="63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36576" rIns="0" bIns="0" anchor="ctr" upright="1"/>
        <a:lstStyle/>
        <a:p>
          <a:pPr algn="ctr" rtl="0">
            <a:defRPr sz="1000"/>
          </a:pPr>
          <a:r>
            <a:rPr lang="en-PH" sz="800" b="0" i="0" u="none" strike="noStrike" baseline="0">
              <a:solidFill>
                <a:srgbClr val="000000"/>
              </a:solidFill>
              <a:latin typeface="+mn-lt"/>
            </a:rPr>
            <a:t> Arrange target date "BPS PIC &amp; Section PIC"</a:t>
          </a:r>
        </a:p>
      </xdr:txBody>
    </xdr:sp>
    <xdr:clientData/>
  </xdr:twoCellAnchor>
  <xdr:twoCellAnchor>
    <xdr:from>
      <xdr:col>18</xdr:col>
      <xdr:colOff>157517</xdr:colOff>
      <xdr:row>113</xdr:row>
      <xdr:rowOff>29149</xdr:rowOff>
    </xdr:from>
    <xdr:to>
      <xdr:col>18</xdr:col>
      <xdr:colOff>160386</xdr:colOff>
      <xdr:row>114</xdr:row>
      <xdr:rowOff>58317</xdr:rowOff>
    </xdr:to>
    <xdr:cxnSp macro="">
      <xdr:nvCxnSpPr>
        <xdr:cNvPr id="42" name="Straight Arrow Connector 41">
          <a:extLst>
            <a:ext uri="{FF2B5EF4-FFF2-40B4-BE49-F238E27FC236}">
              <a16:creationId xmlns:a16="http://schemas.microsoft.com/office/drawing/2014/main" id="{00000000-0008-0000-0500-00002A000000}"/>
            </a:ext>
          </a:extLst>
        </xdr:cNvPr>
        <xdr:cNvCxnSpPr>
          <a:stCxn id="37" idx="2"/>
          <a:endCxn id="41" idx="0"/>
        </xdr:cNvCxnSpPr>
      </xdr:nvCxnSpPr>
      <xdr:spPr>
        <a:xfrm>
          <a:off x="5182440" y="12392210"/>
          <a:ext cx="2869" cy="184678"/>
        </a:xfrm>
        <a:prstGeom prst="straightConnector1">
          <a:avLst/>
        </a:prstGeom>
        <a:ln w="635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50668</xdr:colOff>
      <xdr:row>114</xdr:row>
      <xdr:rowOff>58300</xdr:rowOff>
    </xdr:from>
    <xdr:to>
      <xdr:col>25</xdr:col>
      <xdr:colOff>9733</xdr:colOff>
      <xdr:row>119</xdr:row>
      <xdr:rowOff>19438</xdr:rowOff>
    </xdr:to>
    <xdr:sp macro="" textlink="">
      <xdr:nvSpPr>
        <xdr:cNvPr id="43" name="Text Box 2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 txBox="1">
          <a:spLocks noChangeArrowheads="1"/>
        </xdr:cNvSpPr>
      </xdr:nvSpPr>
      <xdr:spPr bwMode="auto">
        <a:xfrm>
          <a:off x="5882301" y="12576871"/>
          <a:ext cx="911565" cy="524863"/>
        </a:xfrm>
        <a:prstGeom prst="rect">
          <a:avLst/>
        </a:prstGeom>
        <a:solidFill>
          <a:schemeClr val="bg1"/>
        </a:solidFill>
        <a:ln w="63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36576" rIns="0" bIns="0" anchor="ctr" upright="1"/>
        <a:lstStyle/>
        <a:p>
          <a:pPr algn="ctr" rtl="0">
            <a:defRPr sz="1000"/>
          </a:pPr>
          <a:r>
            <a:rPr lang="en-PH" sz="800" b="0" i="0" u="none" strike="noStrike" baseline="0">
              <a:solidFill>
                <a:srgbClr val="000000"/>
              </a:solidFill>
              <a:latin typeface="+mn-lt"/>
            </a:rPr>
            <a:t>Received by BPS PIC</a:t>
          </a:r>
        </a:p>
        <a:p>
          <a:pPr algn="ctr" rtl="0">
            <a:defRPr sz="1000"/>
          </a:pPr>
          <a:r>
            <a:rPr lang="en-PH" sz="800" b="0" i="0" u="none" strike="noStrike" baseline="0">
              <a:solidFill>
                <a:srgbClr val="000000"/>
              </a:solidFill>
              <a:latin typeface="+mn-lt"/>
            </a:rPr>
            <a:t>"signed by receiving PIC"</a:t>
          </a:r>
        </a:p>
      </xdr:txBody>
    </xdr:sp>
    <xdr:clientData/>
  </xdr:twoCellAnchor>
  <xdr:twoCellAnchor>
    <xdr:from>
      <xdr:col>20</xdr:col>
      <xdr:colOff>77770</xdr:colOff>
      <xdr:row>116</xdr:row>
      <xdr:rowOff>68027</xdr:rowOff>
    </xdr:from>
    <xdr:to>
      <xdr:col>21</xdr:col>
      <xdr:colOff>50668</xdr:colOff>
      <xdr:row>117</xdr:row>
      <xdr:rowOff>1</xdr:rowOff>
    </xdr:to>
    <xdr:cxnSp macro="">
      <xdr:nvCxnSpPr>
        <xdr:cNvPr id="44" name="Straight Arrow Connector 43">
          <a:extLst>
            <a:ext uri="{FF2B5EF4-FFF2-40B4-BE49-F238E27FC236}">
              <a16:creationId xmlns:a16="http://schemas.microsoft.com/office/drawing/2014/main" id="{00000000-0008-0000-0500-00002C000000}"/>
            </a:ext>
          </a:extLst>
        </xdr:cNvPr>
        <xdr:cNvCxnSpPr>
          <a:stCxn id="41" idx="3"/>
          <a:endCxn id="43" idx="1"/>
        </xdr:cNvCxnSpPr>
      </xdr:nvCxnSpPr>
      <xdr:spPr>
        <a:xfrm flipV="1">
          <a:off x="5666418" y="12839303"/>
          <a:ext cx="215883" cy="9"/>
        </a:xfrm>
        <a:prstGeom prst="straightConnector1">
          <a:avLst/>
        </a:prstGeom>
        <a:ln w="635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13</xdr:row>
          <xdr:rowOff>0</xdr:rowOff>
        </xdr:from>
        <xdr:to>
          <xdr:col>12</xdr:col>
          <xdr:colOff>238125</xdr:colOff>
          <xdr:row>15</xdr:row>
          <xdr:rowOff>38100</xdr:rowOff>
        </xdr:to>
        <xdr:sp macro="" textlink="">
          <xdr:nvSpPr>
            <xdr:cNvPr id="15391" name="Check Box 31" hidden="1">
              <a:extLst>
                <a:ext uri="{63B3BB69-23CF-44E3-9099-C40C66FF867C}">
                  <a14:compatExt spid="_x0000_s15391"/>
                </a:ext>
                <a:ext uri="{FF2B5EF4-FFF2-40B4-BE49-F238E27FC236}">
                  <a16:creationId xmlns:a16="http://schemas.microsoft.com/office/drawing/2014/main" id="{00000000-0008-0000-0500-00001F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Repair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12</xdr:row>
          <xdr:rowOff>19050</xdr:rowOff>
        </xdr:from>
        <xdr:to>
          <xdr:col>6</xdr:col>
          <xdr:colOff>76200</xdr:colOff>
          <xdr:row>12</xdr:row>
          <xdr:rowOff>228600</xdr:rowOff>
        </xdr:to>
        <xdr:sp macro="" textlink="">
          <xdr:nvSpPr>
            <xdr:cNvPr id="15393" name="Check Box 33" hidden="1">
              <a:extLst>
                <a:ext uri="{63B3BB69-23CF-44E3-9099-C40C66FF867C}">
                  <a14:compatExt spid="_x0000_s15393"/>
                </a:ext>
                <a:ext uri="{FF2B5EF4-FFF2-40B4-BE49-F238E27FC236}">
                  <a16:creationId xmlns:a16="http://schemas.microsoft.com/office/drawing/2014/main" id="{00000000-0008-0000-0500-000021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66675</xdr:colOff>
          <xdr:row>12</xdr:row>
          <xdr:rowOff>28575</xdr:rowOff>
        </xdr:from>
        <xdr:to>
          <xdr:col>9</xdr:col>
          <xdr:colOff>76200</xdr:colOff>
          <xdr:row>12</xdr:row>
          <xdr:rowOff>228600</xdr:rowOff>
        </xdr:to>
        <xdr:sp macro="" textlink="">
          <xdr:nvSpPr>
            <xdr:cNvPr id="15394" name="Check Box 34" hidden="1">
              <a:extLst>
                <a:ext uri="{63B3BB69-23CF-44E3-9099-C40C66FF867C}">
                  <a14:compatExt spid="_x0000_s15394"/>
                </a:ext>
                <a:ext uri="{FF2B5EF4-FFF2-40B4-BE49-F238E27FC236}">
                  <a16:creationId xmlns:a16="http://schemas.microsoft.com/office/drawing/2014/main" id="{00000000-0008-0000-0500-000022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xdr:twoCellAnchor>
    <xdr:from>
      <xdr:col>21</xdr:col>
      <xdr:colOff>49494</xdr:colOff>
      <xdr:row>111</xdr:row>
      <xdr:rowOff>18006</xdr:rowOff>
    </xdr:from>
    <xdr:to>
      <xdr:col>25</xdr:col>
      <xdr:colOff>9733</xdr:colOff>
      <xdr:row>112</xdr:row>
      <xdr:rowOff>145794</xdr:rowOff>
    </xdr:to>
    <xdr:sp macro="" textlink="">
      <xdr:nvSpPr>
        <xdr:cNvPr id="45" name="Text Box 2">
          <a:extLst>
            <a:ext uri="{FF2B5EF4-FFF2-40B4-BE49-F238E27FC236}">
              <a16:creationId xmlns:a16="http://schemas.microsoft.com/office/drawing/2014/main" id="{00000000-0008-0000-0500-00002D000000}"/>
            </a:ext>
          </a:extLst>
        </xdr:cNvPr>
        <xdr:cNvSpPr txBox="1">
          <a:spLocks noChangeArrowheads="1"/>
        </xdr:cNvSpPr>
      </xdr:nvSpPr>
      <xdr:spPr bwMode="auto">
        <a:xfrm>
          <a:off x="5881127" y="12070047"/>
          <a:ext cx="912739" cy="283298"/>
        </a:xfrm>
        <a:prstGeom prst="rect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36576" rIns="0" bIns="0" anchor="ctr" upright="1"/>
        <a:lstStyle/>
        <a:p>
          <a:pPr algn="ctr" rtl="0">
            <a:defRPr sz="1000"/>
          </a:pPr>
          <a:r>
            <a:rPr lang="en-PH" sz="800" b="0" i="0" u="none" strike="noStrike" baseline="0">
              <a:solidFill>
                <a:srgbClr val="000000"/>
              </a:solidFill>
              <a:latin typeface="+mn-lt"/>
            </a:rPr>
            <a:t>Start Fabrication</a:t>
          </a:r>
        </a:p>
      </xdr:txBody>
    </xdr:sp>
    <xdr:clientData/>
  </xdr:twoCellAnchor>
  <xdr:twoCellAnchor>
    <xdr:from>
      <xdr:col>2</xdr:col>
      <xdr:colOff>138955</xdr:colOff>
      <xdr:row>102</xdr:row>
      <xdr:rowOff>116632</xdr:rowOff>
    </xdr:from>
    <xdr:to>
      <xdr:col>4</xdr:col>
      <xdr:colOff>126357</xdr:colOff>
      <xdr:row>104</xdr:row>
      <xdr:rowOff>48596</xdr:rowOff>
    </xdr:to>
    <xdr:sp macro="" textlink="">
      <xdr:nvSpPr>
        <xdr:cNvPr id="5" name="Rounded Rectangle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586047" y="11080101"/>
          <a:ext cx="706637" cy="242985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PH" sz="1100"/>
            <a:t>START</a:t>
          </a:r>
        </a:p>
      </xdr:txBody>
    </xdr:sp>
    <xdr:clientData/>
  </xdr:twoCellAnchor>
  <xdr:twoCellAnchor>
    <xdr:from>
      <xdr:col>3</xdr:col>
      <xdr:colOff>135100</xdr:colOff>
      <xdr:row>107</xdr:row>
      <xdr:rowOff>58317</xdr:rowOff>
    </xdr:from>
    <xdr:to>
      <xdr:col>3</xdr:col>
      <xdr:colOff>136999</xdr:colOff>
      <xdr:row>108</xdr:row>
      <xdr:rowOff>96420</xdr:rowOff>
    </xdr:to>
    <xdr:cxnSp macro="">
      <xdr:nvCxnSpPr>
        <xdr:cNvPr id="46" name="Straight Arrow Connector 45">
          <a:extLst>
            <a:ext uri="{FF2B5EF4-FFF2-40B4-BE49-F238E27FC236}">
              <a16:creationId xmlns:a16="http://schemas.microsoft.com/office/drawing/2014/main" id="{00000000-0008-0000-0500-00002E000000}"/>
            </a:ext>
          </a:extLst>
        </xdr:cNvPr>
        <xdr:cNvCxnSpPr>
          <a:stCxn id="30" idx="2"/>
          <a:endCxn id="27" idx="0"/>
        </xdr:cNvCxnSpPr>
      </xdr:nvCxnSpPr>
      <xdr:spPr>
        <a:xfrm flipH="1">
          <a:off x="941809" y="11488317"/>
          <a:ext cx="1899" cy="193613"/>
        </a:xfrm>
        <a:prstGeom prst="straightConnector1">
          <a:avLst/>
        </a:prstGeom>
        <a:ln w="635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11078</xdr:colOff>
      <xdr:row>113</xdr:row>
      <xdr:rowOff>132906</xdr:rowOff>
    </xdr:from>
    <xdr:to>
      <xdr:col>16</xdr:col>
      <xdr:colOff>2938</xdr:colOff>
      <xdr:row>119</xdr:row>
      <xdr:rowOff>29388</xdr:rowOff>
    </xdr:to>
    <xdr:sp macro="" textlink="">
      <xdr:nvSpPr>
        <xdr:cNvPr id="47" name="Text Box 1">
          <a:extLst>
            <a:ext uri="{FF2B5EF4-FFF2-40B4-BE49-F238E27FC236}">
              <a16:creationId xmlns:a16="http://schemas.microsoft.com/office/drawing/2014/main" id="{00000000-0008-0000-0500-00002F000000}"/>
            </a:ext>
          </a:extLst>
        </xdr:cNvPr>
        <xdr:cNvSpPr txBox="1">
          <a:spLocks noChangeArrowheads="1"/>
        </xdr:cNvSpPr>
      </xdr:nvSpPr>
      <xdr:spPr bwMode="auto">
        <a:xfrm>
          <a:off x="3544188" y="12382499"/>
          <a:ext cx="966512" cy="616395"/>
        </a:xfrm>
        <a:prstGeom prst="rect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ctr" upright="1"/>
        <a:lstStyle/>
        <a:p>
          <a:pPr algn="ctr" rtl="0">
            <a:lnSpc>
              <a:spcPts val="1100"/>
            </a:lnSpc>
            <a:defRPr sz="1000"/>
          </a:pPr>
          <a:r>
            <a:rPr lang="en-PH" sz="800" b="0" i="0" u="none" strike="noStrike" baseline="0">
              <a:solidFill>
                <a:srgbClr val="000000"/>
              </a:solidFill>
              <a:latin typeface="+mn-lt"/>
            </a:rPr>
            <a:t>Section PIC shall apply the needed materials to PE thru "WMS"</a:t>
          </a:r>
        </a:p>
      </xdr:txBody>
    </xdr:sp>
    <xdr:clientData/>
  </xdr:twoCellAnchor>
  <xdr:twoCellAnchor>
    <xdr:from>
      <xdr:col>18</xdr:col>
      <xdr:colOff>152595</xdr:colOff>
      <xdr:row>107</xdr:row>
      <xdr:rowOff>58906</xdr:rowOff>
    </xdr:from>
    <xdr:to>
      <xdr:col>18</xdr:col>
      <xdr:colOff>157517</xdr:colOff>
      <xdr:row>109</xdr:row>
      <xdr:rowOff>40545</xdr:rowOff>
    </xdr:to>
    <xdr:cxnSp macro="">
      <xdr:nvCxnSpPr>
        <xdr:cNvPr id="51" name="Straight Arrow Connector 50">
          <a:extLst>
            <a:ext uri="{FF2B5EF4-FFF2-40B4-BE49-F238E27FC236}">
              <a16:creationId xmlns:a16="http://schemas.microsoft.com/office/drawing/2014/main" id="{00000000-0008-0000-0500-000033000000}"/>
            </a:ext>
          </a:extLst>
        </xdr:cNvPr>
        <xdr:cNvCxnSpPr>
          <a:stCxn id="39" idx="2"/>
          <a:endCxn id="37" idx="0"/>
        </xdr:cNvCxnSpPr>
      </xdr:nvCxnSpPr>
      <xdr:spPr>
        <a:xfrm>
          <a:off x="5177518" y="11488906"/>
          <a:ext cx="4922" cy="292659"/>
        </a:xfrm>
        <a:prstGeom prst="straightConnector1">
          <a:avLst/>
        </a:prstGeom>
        <a:ln w="635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19895</xdr:colOff>
      <xdr:row>112</xdr:row>
      <xdr:rowOff>145794</xdr:rowOff>
    </xdr:from>
    <xdr:to>
      <xdr:col>23</xdr:col>
      <xdr:colOff>20482</xdr:colOff>
      <xdr:row>114</xdr:row>
      <xdr:rowOff>58300</xdr:rowOff>
    </xdr:to>
    <xdr:cxnSp macro="">
      <xdr:nvCxnSpPr>
        <xdr:cNvPr id="69" name="Straight Arrow Connector 68">
          <a:extLst>
            <a:ext uri="{FF2B5EF4-FFF2-40B4-BE49-F238E27FC236}">
              <a16:creationId xmlns:a16="http://schemas.microsoft.com/office/drawing/2014/main" id="{00000000-0008-0000-0500-000045000000}"/>
            </a:ext>
          </a:extLst>
        </xdr:cNvPr>
        <xdr:cNvCxnSpPr>
          <a:stCxn id="43" idx="0"/>
          <a:endCxn id="45" idx="2"/>
        </xdr:cNvCxnSpPr>
      </xdr:nvCxnSpPr>
      <xdr:spPr>
        <a:xfrm flipH="1" flipV="1">
          <a:off x="6337497" y="12353345"/>
          <a:ext cx="587" cy="223526"/>
        </a:xfrm>
        <a:prstGeom prst="straightConnector1">
          <a:avLst/>
        </a:prstGeom>
        <a:ln w="635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46384</xdr:colOff>
      <xdr:row>107</xdr:row>
      <xdr:rowOff>68043</xdr:rowOff>
    </xdr:from>
    <xdr:to>
      <xdr:col>25</xdr:col>
      <xdr:colOff>9733</xdr:colOff>
      <xdr:row>109</xdr:row>
      <xdr:rowOff>103809</xdr:rowOff>
    </xdr:to>
    <xdr:sp macro="" textlink="">
      <xdr:nvSpPr>
        <xdr:cNvPr id="72" name="Text Box 2">
          <a:extLst>
            <a:ext uri="{FF2B5EF4-FFF2-40B4-BE49-F238E27FC236}">
              <a16:creationId xmlns:a16="http://schemas.microsoft.com/office/drawing/2014/main" id="{00000000-0008-0000-0500-000048000000}"/>
            </a:ext>
          </a:extLst>
        </xdr:cNvPr>
        <xdr:cNvSpPr txBox="1">
          <a:spLocks noChangeArrowheads="1"/>
        </xdr:cNvSpPr>
      </xdr:nvSpPr>
      <xdr:spPr bwMode="auto">
        <a:xfrm>
          <a:off x="5878017" y="11498043"/>
          <a:ext cx="915849" cy="346786"/>
        </a:xfrm>
        <a:prstGeom prst="rect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36576" rIns="0" bIns="0" anchor="ctr" upright="1"/>
        <a:lstStyle/>
        <a:p>
          <a:pPr algn="ctr" rtl="0">
            <a:defRPr sz="1000"/>
          </a:pPr>
          <a:r>
            <a:rPr lang="en-PH" sz="800" b="0" i="0" u="none" strike="noStrike" baseline="0">
              <a:solidFill>
                <a:srgbClr val="000000"/>
              </a:solidFill>
              <a:latin typeface="+mn-lt"/>
            </a:rPr>
            <a:t>Once DONE, Inform Requestor</a:t>
          </a:r>
        </a:p>
      </xdr:txBody>
    </xdr:sp>
    <xdr:clientData/>
  </xdr:twoCellAnchor>
  <xdr:twoCellAnchor>
    <xdr:from>
      <xdr:col>23</xdr:col>
      <xdr:colOff>18340</xdr:colOff>
      <xdr:row>109</xdr:row>
      <xdr:rowOff>103809</xdr:rowOff>
    </xdr:from>
    <xdr:to>
      <xdr:col>23</xdr:col>
      <xdr:colOff>19895</xdr:colOff>
      <xdr:row>111</xdr:row>
      <xdr:rowOff>18006</xdr:rowOff>
    </xdr:to>
    <xdr:cxnSp macro="">
      <xdr:nvCxnSpPr>
        <xdr:cNvPr id="73" name="Straight Arrow Connector 72">
          <a:extLst>
            <a:ext uri="{FF2B5EF4-FFF2-40B4-BE49-F238E27FC236}">
              <a16:creationId xmlns:a16="http://schemas.microsoft.com/office/drawing/2014/main" id="{00000000-0008-0000-0500-000049000000}"/>
            </a:ext>
          </a:extLst>
        </xdr:cNvPr>
        <xdr:cNvCxnSpPr>
          <a:stCxn id="45" idx="0"/>
          <a:endCxn id="72" idx="2"/>
        </xdr:cNvCxnSpPr>
      </xdr:nvCxnSpPr>
      <xdr:spPr>
        <a:xfrm flipH="1" flipV="1">
          <a:off x="6335942" y="11844829"/>
          <a:ext cx="1555" cy="225218"/>
        </a:xfrm>
        <a:prstGeom prst="straightConnector1">
          <a:avLst/>
        </a:prstGeom>
        <a:ln w="635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62714</xdr:colOff>
      <xdr:row>104</xdr:row>
      <xdr:rowOff>21495</xdr:rowOff>
    </xdr:from>
    <xdr:to>
      <xdr:col>25</xdr:col>
      <xdr:colOff>14</xdr:colOff>
      <xdr:row>105</xdr:row>
      <xdr:rowOff>149283</xdr:rowOff>
    </xdr:to>
    <xdr:sp macro="" textlink="">
      <xdr:nvSpPr>
        <xdr:cNvPr id="76" name="Text Box 2">
          <a:extLst>
            <a:ext uri="{FF2B5EF4-FFF2-40B4-BE49-F238E27FC236}">
              <a16:creationId xmlns:a16="http://schemas.microsoft.com/office/drawing/2014/main" id="{00000000-0008-0000-0500-00004C000000}"/>
            </a:ext>
          </a:extLst>
        </xdr:cNvPr>
        <xdr:cNvSpPr txBox="1">
          <a:spLocks noChangeArrowheads="1"/>
        </xdr:cNvSpPr>
      </xdr:nvSpPr>
      <xdr:spPr bwMode="auto">
        <a:xfrm>
          <a:off x="5894347" y="10984964"/>
          <a:ext cx="889800" cy="283299"/>
        </a:xfrm>
        <a:prstGeom prst="rect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36576" rIns="0" bIns="0" anchor="ctr" upright="1"/>
        <a:lstStyle/>
        <a:p>
          <a:pPr algn="ctr" rtl="0">
            <a:defRPr sz="1000"/>
          </a:pPr>
          <a:r>
            <a:rPr lang="en-PH" sz="800" b="0" i="0" u="none" strike="noStrike" baseline="0">
              <a:solidFill>
                <a:srgbClr val="000000"/>
              </a:solidFill>
              <a:latin typeface="+mn-lt"/>
            </a:rPr>
            <a:t>Check by Requestor</a:t>
          </a:r>
        </a:p>
      </xdr:txBody>
    </xdr:sp>
    <xdr:clientData/>
  </xdr:twoCellAnchor>
  <xdr:twoCellAnchor>
    <xdr:from>
      <xdr:col>23</xdr:col>
      <xdr:colOff>18340</xdr:colOff>
      <xdr:row>105</xdr:row>
      <xdr:rowOff>149283</xdr:rowOff>
    </xdr:from>
    <xdr:to>
      <xdr:col>23</xdr:col>
      <xdr:colOff>21645</xdr:colOff>
      <xdr:row>107</xdr:row>
      <xdr:rowOff>68043</xdr:rowOff>
    </xdr:to>
    <xdr:cxnSp macro="">
      <xdr:nvCxnSpPr>
        <xdr:cNvPr id="77" name="Straight Arrow Connector 76">
          <a:extLst>
            <a:ext uri="{FF2B5EF4-FFF2-40B4-BE49-F238E27FC236}">
              <a16:creationId xmlns:a16="http://schemas.microsoft.com/office/drawing/2014/main" id="{00000000-0008-0000-0500-00004D000000}"/>
            </a:ext>
          </a:extLst>
        </xdr:cNvPr>
        <xdr:cNvCxnSpPr>
          <a:stCxn id="72" idx="0"/>
          <a:endCxn id="76" idx="2"/>
        </xdr:cNvCxnSpPr>
      </xdr:nvCxnSpPr>
      <xdr:spPr>
        <a:xfrm flipV="1">
          <a:off x="6335942" y="11268263"/>
          <a:ext cx="3305" cy="229780"/>
        </a:xfrm>
        <a:prstGeom prst="straightConnector1">
          <a:avLst/>
        </a:prstGeom>
        <a:ln w="635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262423</xdr:colOff>
      <xdr:row>106</xdr:row>
      <xdr:rowOff>9722</xdr:rowOff>
    </xdr:from>
    <xdr:to>
      <xdr:col>28</xdr:col>
      <xdr:colOff>291582</xdr:colOff>
      <xdr:row>108</xdr:row>
      <xdr:rowOff>145792</xdr:rowOff>
    </xdr:to>
    <xdr:sp macro="" textlink="">
      <xdr:nvSpPr>
        <xdr:cNvPr id="81" name="Flowchart: Decision 80">
          <a:extLst>
            <a:ext uri="{FF2B5EF4-FFF2-40B4-BE49-F238E27FC236}">
              <a16:creationId xmlns:a16="http://schemas.microsoft.com/office/drawing/2014/main" id="{00000000-0008-0000-0500-000051000000}"/>
            </a:ext>
          </a:extLst>
        </xdr:cNvPr>
        <xdr:cNvSpPr/>
      </xdr:nvSpPr>
      <xdr:spPr>
        <a:xfrm>
          <a:off x="7046556" y="11284212"/>
          <a:ext cx="835868" cy="447090"/>
        </a:xfrm>
        <a:prstGeom prst="flowChartDecision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endParaRPr lang="en-PH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25</xdr:col>
      <xdr:colOff>14</xdr:colOff>
      <xdr:row>105</xdr:row>
      <xdr:rowOff>7634</xdr:rowOff>
    </xdr:from>
    <xdr:to>
      <xdr:col>27</xdr:col>
      <xdr:colOff>126352</xdr:colOff>
      <xdr:row>106</xdr:row>
      <xdr:rowOff>9722</xdr:rowOff>
    </xdr:to>
    <xdr:cxnSp macro="">
      <xdr:nvCxnSpPr>
        <xdr:cNvPr id="82" name="Elbow Connector 12">
          <a:extLst>
            <a:ext uri="{FF2B5EF4-FFF2-40B4-BE49-F238E27FC236}">
              <a16:creationId xmlns:a16="http://schemas.microsoft.com/office/drawing/2014/main" id="{00000000-0008-0000-0500-000052000000}"/>
            </a:ext>
          </a:extLst>
        </xdr:cNvPr>
        <xdr:cNvCxnSpPr>
          <a:stCxn id="76" idx="3"/>
          <a:endCxn id="81" idx="0"/>
        </xdr:cNvCxnSpPr>
      </xdr:nvCxnSpPr>
      <xdr:spPr>
        <a:xfrm>
          <a:off x="6784147" y="11126614"/>
          <a:ext cx="680343" cy="157598"/>
        </a:xfrm>
        <a:prstGeom prst="bentConnector2">
          <a:avLst/>
        </a:prstGeom>
        <a:ln w="635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25</xdr:col>
      <xdr:colOff>53896</xdr:colOff>
      <xdr:row>106</xdr:row>
      <xdr:rowOff>52495</xdr:rowOff>
    </xdr:from>
    <xdr:ext cx="318805" cy="217560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00000000-0008-0000-0500-000055000000}"/>
            </a:ext>
          </a:extLst>
        </xdr:cNvPr>
        <xdr:cNvSpPr txBox="1"/>
      </xdr:nvSpPr>
      <xdr:spPr>
        <a:xfrm>
          <a:off x="6838029" y="11326985"/>
          <a:ext cx="318805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800"/>
            <a:t>NO</a:t>
          </a:r>
        </a:p>
      </xdr:txBody>
    </xdr:sp>
    <xdr:clientData/>
  </xdr:oneCellAnchor>
  <xdr:oneCellAnchor>
    <xdr:from>
      <xdr:col>27</xdr:col>
      <xdr:colOff>87474</xdr:colOff>
      <xdr:row>108</xdr:row>
      <xdr:rowOff>87478</xdr:rowOff>
    </xdr:from>
    <xdr:ext cx="331886" cy="217560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00000000-0008-0000-0500-000056000000}"/>
            </a:ext>
          </a:extLst>
        </xdr:cNvPr>
        <xdr:cNvSpPr txBox="1"/>
      </xdr:nvSpPr>
      <xdr:spPr>
        <a:xfrm>
          <a:off x="7425612" y="11672988"/>
          <a:ext cx="331886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800"/>
            <a:t>YES</a:t>
          </a:r>
        </a:p>
      </xdr:txBody>
    </xdr:sp>
    <xdr:clientData/>
  </xdr:oneCellAnchor>
  <xdr:twoCellAnchor>
    <xdr:from>
      <xdr:col>25</xdr:col>
      <xdr:colOff>9733</xdr:colOff>
      <xdr:row>107</xdr:row>
      <xdr:rowOff>77756</xdr:rowOff>
    </xdr:from>
    <xdr:to>
      <xdr:col>25</xdr:col>
      <xdr:colOff>262423</xdr:colOff>
      <xdr:row>112</xdr:row>
      <xdr:rowOff>4144</xdr:rowOff>
    </xdr:to>
    <xdr:cxnSp macro="">
      <xdr:nvCxnSpPr>
        <xdr:cNvPr id="87" name="Elbow Connector 12">
          <a:extLst>
            <a:ext uri="{FF2B5EF4-FFF2-40B4-BE49-F238E27FC236}">
              <a16:creationId xmlns:a16="http://schemas.microsoft.com/office/drawing/2014/main" id="{00000000-0008-0000-0500-000057000000}"/>
            </a:ext>
          </a:extLst>
        </xdr:cNvPr>
        <xdr:cNvCxnSpPr>
          <a:stCxn id="81" idx="1"/>
          <a:endCxn id="45" idx="3"/>
        </xdr:cNvCxnSpPr>
      </xdr:nvCxnSpPr>
      <xdr:spPr>
        <a:xfrm rot="10800000" flipV="1">
          <a:off x="6793866" y="11507756"/>
          <a:ext cx="252690" cy="703939"/>
        </a:xfrm>
        <a:prstGeom prst="bentConnector3">
          <a:avLst>
            <a:gd name="adj1" fmla="val 50000"/>
          </a:avLst>
        </a:prstGeom>
        <a:ln w="635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276056</xdr:colOff>
      <xdr:row>110</xdr:row>
      <xdr:rowOff>149197</xdr:rowOff>
    </xdr:from>
    <xdr:to>
      <xdr:col>28</xdr:col>
      <xdr:colOff>289034</xdr:colOff>
      <xdr:row>113</xdr:row>
      <xdr:rowOff>51554</xdr:rowOff>
    </xdr:to>
    <xdr:sp macro="" textlink="">
      <xdr:nvSpPr>
        <xdr:cNvPr id="94" name="Text Box 2">
          <a:extLst>
            <a:ext uri="{FF2B5EF4-FFF2-40B4-BE49-F238E27FC236}">
              <a16:creationId xmlns:a16="http://schemas.microsoft.com/office/drawing/2014/main" id="{00000000-0008-0000-0500-00005E000000}"/>
            </a:ext>
          </a:extLst>
        </xdr:cNvPr>
        <xdr:cNvSpPr txBox="1">
          <a:spLocks noChangeArrowheads="1"/>
        </xdr:cNvSpPr>
      </xdr:nvSpPr>
      <xdr:spPr bwMode="auto">
        <a:xfrm>
          <a:off x="6989539" y="11079956"/>
          <a:ext cx="788116" cy="355615"/>
        </a:xfrm>
        <a:prstGeom prst="rect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36576" rIns="0" bIns="0" anchor="ctr" upright="1"/>
        <a:lstStyle/>
        <a:p>
          <a:pPr algn="ctr" rtl="0">
            <a:defRPr sz="1000"/>
          </a:pPr>
          <a:r>
            <a:rPr lang="en-PH" sz="800" b="0" i="0" u="none" strike="noStrike" baseline="0">
              <a:solidFill>
                <a:srgbClr val="000000"/>
              </a:solidFill>
              <a:latin typeface="+mn-lt"/>
            </a:rPr>
            <a:t>Pick-up/</a:t>
          </a:r>
        </a:p>
        <a:p>
          <a:pPr algn="ctr" rtl="0">
            <a:defRPr sz="1000"/>
          </a:pPr>
          <a:r>
            <a:rPr lang="en-PH" sz="800" b="0" i="0" u="none" strike="noStrike" baseline="0">
              <a:solidFill>
                <a:srgbClr val="000000"/>
              </a:solidFill>
              <a:latin typeface="+mn-lt"/>
            </a:rPr>
            <a:t>Deliver/Install</a:t>
          </a:r>
        </a:p>
      </xdr:txBody>
    </xdr:sp>
    <xdr:clientData/>
  </xdr:twoCellAnchor>
  <xdr:twoCellAnchor>
    <xdr:from>
      <xdr:col>25</xdr:col>
      <xdr:colOff>301690</xdr:colOff>
      <xdr:row>115</xdr:row>
      <xdr:rowOff>112013</xdr:rowOff>
    </xdr:from>
    <xdr:to>
      <xdr:col>28</xdr:col>
      <xdr:colOff>220668</xdr:colOff>
      <xdr:row>118</xdr:row>
      <xdr:rowOff>36157</xdr:rowOff>
    </xdr:to>
    <xdr:sp macro="" textlink="">
      <xdr:nvSpPr>
        <xdr:cNvPr id="96" name="Rounded Rectangle 95">
          <a:extLst>
            <a:ext uri="{FF2B5EF4-FFF2-40B4-BE49-F238E27FC236}">
              <a16:creationId xmlns:a16="http://schemas.microsoft.com/office/drawing/2014/main" id="{00000000-0008-0000-0500-000060000000}"/>
            </a:ext>
          </a:extLst>
        </xdr:cNvPr>
        <xdr:cNvSpPr/>
      </xdr:nvSpPr>
      <xdr:spPr>
        <a:xfrm>
          <a:off x="7015173" y="11745651"/>
          <a:ext cx="694116" cy="29200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PH" sz="1100"/>
            <a:t>END</a:t>
          </a:r>
        </a:p>
      </xdr:txBody>
    </xdr:sp>
    <xdr:clientData/>
  </xdr:twoCellAnchor>
  <xdr:twoCellAnchor>
    <xdr:from>
      <xdr:col>6</xdr:col>
      <xdr:colOff>122631</xdr:colOff>
      <xdr:row>111</xdr:row>
      <xdr:rowOff>77525</xdr:rowOff>
    </xdr:from>
    <xdr:to>
      <xdr:col>8</xdr:col>
      <xdr:colOff>238291</xdr:colOff>
      <xdr:row>114</xdr:row>
      <xdr:rowOff>80060</xdr:rowOff>
    </xdr:to>
    <xdr:sp macro="" textlink="">
      <xdr:nvSpPr>
        <xdr:cNvPr id="67" name="Text Box 1">
          <a:extLst>
            <a:ext uri="{FF2B5EF4-FFF2-40B4-BE49-F238E27FC236}">
              <a16:creationId xmlns:a16="http://schemas.microsoft.com/office/drawing/2014/main" id="{00000000-0008-0000-0500-000043000000}"/>
            </a:ext>
          </a:extLst>
        </xdr:cNvPr>
        <xdr:cNvSpPr txBox="1">
          <a:spLocks noChangeArrowheads="1"/>
        </xdr:cNvSpPr>
      </xdr:nvSpPr>
      <xdr:spPr bwMode="auto">
        <a:xfrm>
          <a:off x="1783968" y="12017002"/>
          <a:ext cx="602986" cy="467709"/>
        </a:xfrm>
        <a:prstGeom prst="rect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ctr" upright="1"/>
        <a:lstStyle/>
        <a:p>
          <a:pPr algn="ctr" rtl="0">
            <a:lnSpc>
              <a:spcPts val="1100"/>
            </a:lnSpc>
            <a:defRPr sz="1000"/>
          </a:pPr>
          <a:r>
            <a:rPr lang="en-PH" sz="800" b="0" i="0" u="none" strike="noStrike" baseline="0">
              <a:solidFill>
                <a:srgbClr val="000000"/>
              </a:solidFill>
              <a:latin typeface="+mn-lt"/>
            </a:rPr>
            <a:t>Calculate the needed materials</a:t>
          </a:r>
        </a:p>
      </xdr:txBody>
    </xdr:sp>
    <xdr:clientData/>
  </xdr:twoCellAnchor>
  <xdr:twoCellAnchor>
    <xdr:from>
      <xdr:col>8</xdr:col>
      <xdr:colOff>55382</xdr:colOff>
      <xdr:row>101</xdr:row>
      <xdr:rowOff>44985</xdr:rowOff>
    </xdr:from>
    <xdr:to>
      <xdr:col>12</xdr:col>
      <xdr:colOff>216555</xdr:colOff>
      <xdr:row>108</xdr:row>
      <xdr:rowOff>143469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GrpSpPr/>
      </xdr:nvGrpSpPr>
      <xdr:grpSpPr>
        <a:xfrm>
          <a:off x="2117752" y="9536855"/>
          <a:ext cx="1055694" cy="1142092"/>
          <a:chOff x="2655436" y="10550732"/>
          <a:chExt cx="1072070" cy="1236609"/>
        </a:xfrm>
      </xdr:grpSpPr>
      <xdr:sp macro="" textlink="">
        <xdr:nvSpPr>
          <xdr:cNvPr id="70" name="Flowchart: Decision 69">
            <a:extLst>
              <a:ext uri="{FF2B5EF4-FFF2-40B4-BE49-F238E27FC236}">
                <a16:creationId xmlns:a16="http://schemas.microsoft.com/office/drawing/2014/main" id="{00000000-0008-0000-0500-000046000000}"/>
              </a:ext>
            </a:extLst>
          </xdr:cNvPr>
          <xdr:cNvSpPr/>
        </xdr:nvSpPr>
        <xdr:spPr>
          <a:xfrm>
            <a:off x="2655436" y="10767047"/>
            <a:ext cx="1072070" cy="736413"/>
          </a:xfrm>
          <a:prstGeom prst="flowChartDecision">
            <a:avLst/>
          </a:prstGeom>
          <a:solidFill>
            <a:schemeClr val="bg1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endParaRPr lang="en-PH" sz="8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63" name="Text Box 1">
            <a:extLst>
              <a:ext uri="{FF2B5EF4-FFF2-40B4-BE49-F238E27FC236}">
                <a16:creationId xmlns:a16="http://schemas.microsoft.com/office/drawing/2014/main" id="{00000000-0008-0000-0500-00003F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782764" y="10550732"/>
            <a:ext cx="818392" cy="1236609"/>
          </a:xfrm>
          <a:prstGeom prst="rect">
            <a:avLst/>
          </a:prstGeom>
          <a:noFill/>
          <a:ln w="6350">
            <a:noFill/>
            <a:miter lim="800000"/>
            <a:headEnd/>
            <a:tailEnd/>
          </a:ln>
        </xdr:spPr>
        <xdr:txBody>
          <a:bodyPr vertOverflow="clip" wrap="square" lIns="27432" tIns="27432" rIns="0" bIns="0" anchor="ctr" upright="1"/>
          <a:lstStyle/>
          <a:p>
            <a:pPr algn="ctr" rtl="0">
              <a:lnSpc>
                <a:spcPts val="1100"/>
              </a:lnSpc>
              <a:defRPr sz="1000"/>
            </a:pPr>
            <a:r>
              <a:rPr lang="en-PH" sz="800" b="0" i="0" u="none" strike="noStrike" baseline="0">
                <a:solidFill>
                  <a:srgbClr val="000000"/>
                </a:solidFill>
                <a:latin typeface="+mn-lt"/>
              </a:rPr>
              <a:t>Can identify the  material/s needed?</a:t>
            </a:r>
          </a:p>
        </xdr:txBody>
      </xdr:sp>
    </xdr:grpSp>
    <xdr:clientData/>
  </xdr:twoCellAnchor>
  <xdr:oneCellAnchor>
    <xdr:from>
      <xdr:col>10</xdr:col>
      <xdr:colOff>157040</xdr:colOff>
      <xdr:row>107</xdr:row>
      <xdr:rowOff>2249</xdr:rowOff>
    </xdr:from>
    <xdr:ext cx="373237" cy="225594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00000000-0008-0000-0500-00004E000000}"/>
            </a:ext>
          </a:extLst>
        </xdr:cNvPr>
        <xdr:cNvSpPr txBox="1"/>
      </xdr:nvSpPr>
      <xdr:spPr>
        <a:xfrm>
          <a:off x="2793028" y="11321493"/>
          <a:ext cx="373237" cy="2255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PH" sz="800"/>
            <a:t>YES</a:t>
          </a:r>
        </a:p>
      </xdr:txBody>
    </xdr:sp>
    <xdr:clientData/>
  </xdr:oneCellAnchor>
  <xdr:oneCellAnchor>
    <xdr:from>
      <xdr:col>12</xdr:col>
      <xdr:colOff>114037</xdr:colOff>
      <xdr:row>103</xdr:row>
      <xdr:rowOff>48195</xdr:rowOff>
    </xdr:from>
    <xdr:ext cx="318805" cy="217560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00000000-0008-0000-0500-00004F000000}"/>
            </a:ext>
          </a:extLst>
        </xdr:cNvPr>
        <xdr:cNvSpPr txBox="1"/>
      </xdr:nvSpPr>
      <xdr:spPr>
        <a:xfrm>
          <a:off x="3348107" y="10747207"/>
          <a:ext cx="318805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800"/>
            <a:t>NO</a:t>
          </a:r>
        </a:p>
      </xdr:txBody>
    </xdr:sp>
    <xdr:clientData/>
  </xdr:oneCellAnchor>
  <xdr:twoCellAnchor>
    <xdr:from>
      <xdr:col>13</xdr:col>
      <xdr:colOff>89074</xdr:colOff>
      <xdr:row>103</xdr:row>
      <xdr:rowOff>113917</xdr:rowOff>
    </xdr:from>
    <xdr:to>
      <xdr:col>15</xdr:col>
      <xdr:colOff>212034</xdr:colOff>
      <xdr:row>105</xdr:row>
      <xdr:rowOff>152344</xdr:rowOff>
    </xdr:to>
    <xdr:sp macro="" textlink="">
      <xdr:nvSpPr>
        <xdr:cNvPr id="83" name="Text Box 1">
          <a:extLst>
            <a:ext uri="{FF2B5EF4-FFF2-40B4-BE49-F238E27FC236}">
              <a16:creationId xmlns:a16="http://schemas.microsoft.com/office/drawing/2014/main" id="{00000000-0008-0000-0500-000053000000}"/>
            </a:ext>
          </a:extLst>
        </xdr:cNvPr>
        <xdr:cNvSpPr txBox="1">
          <a:spLocks noChangeArrowheads="1"/>
        </xdr:cNvSpPr>
      </xdr:nvSpPr>
      <xdr:spPr bwMode="auto">
        <a:xfrm>
          <a:off x="3622184" y="10812929"/>
          <a:ext cx="809647" cy="348543"/>
        </a:xfrm>
        <a:prstGeom prst="rect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ctr" upright="1"/>
        <a:lstStyle/>
        <a:p>
          <a:pPr algn="ctr" rtl="0">
            <a:lnSpc>
              <a:spcPts val="1100"/>
            </a:lnSpc>
            <a:defRPr sz="1000"/>
          </a:pPr>
          <a:r>
            <a:rPr lang="en-PH" sz="800" b="0" i="0" u="none" strike="noStrike" baseline="0">
              <a:solidFill>
                <a:srgbClr val="000000"/>
              </a:solidFill>
              <a:latin typeface="+mn-lt"/>
            </a:rPr>
            <a:t>Contact BPS fabrication PIC</a:t>
          </a:r>
        </a:p>
      </xdr:txBody>
    </xdr:sp>
    <xdr:clientData/>
  </xdr:twoCellAnchor>
  <xdr:twoCellAnchor>
    <xdr:from>
      <xdr:col>13</xdr:col>
      <xdr:colOff>79125</xdr:colOff>
      <xdr:row>108</xdr:row>
      <xdr:rowOff>114875</xdr:rowOff>
    </xdr:from>
    <xdr:to>
      <xdr:col>15</xdr:col>
      <xdr:colOff>221516</xdr:colOff>
      <xdr:row>111</xdr:row>
      <xdr:rowOff>138780</xdr:rowOff>
    </xdr:to>
    <xdr:sp macro="" textlink="">
      <xdr:nvSpPr>
        <xdr:cNvPr id="84" name="Text Box 1">
          <a:extLst>
            <a:ext uri="{FF2B5EF4-FFF2-40B4-BE49-F238E27FC236}">
              <a16:creationId xmlns:a16="http://schemas.microsoft.com/office/drawing/2014/main" id="{00000000-0008-0000-0500-000054000000}"/>
            </a:ext>
          </a:extLst>
        </xdr:cNvPr>
        <xdr:cNvSpPr txBox="1">
          <a:spLocks noChangeArrowheads="1"/>
        </xdr:cNvSpPr>
      </xdr:nvSpPr>
      <xdr:spPr bwMode="auto">
        <a:xfrm>
          <a:off x="3612235" y="11589177"/>
          <a:ext cx="829078" cy="489080"/>
        </a:xfrm>
        <a:prstGeom prst="rect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ctr" upright="1"/>
        <a:lstStyle/>
        <a:p>
          <a:pPr algn="ctr" rtl="0">
            <a:lnSpc>
              <a:spcPts val="1100"/>
            </a:lnSpc>
            <a:defRPr sz="1000"/>
          </a:pPr>
          <a:r>
            <a:rPr lang="en-PH" sz="800" b="0" i="0" u="none" strike="noStrike" baseline="0">
              <a:solidFill>
                <a:srgbClr val="000000"/>
              </a:solidFill>
              <a:latin typeface="+mn-lt"/>
            </a:rPr>
            <a:t> BPS PIC shall identify the materials needed</a:t>
          </a:r>
        </a:p>
      </xdr:txBody>
    </xdr:sp>
    <xdr:clientData/>
  </xdr:twoCellAnchor>
  <xdr:twoCellAnchor>
    <xdr:from>
      <xdr:col>14</xdr:col>
      <xdr:colOff>194623</xdr:colOff>
      <xdr:row>111</xdr:row>
      <xdr:rowOff>138780</xdr:rowOff>
    </xdr:from>
    <xdr:to>
      <xdr:col>14</xdr:col>
      <xdr:colOff>195293</xdr:colOff>
      <xdr:row>113</xdr:row>
      <xdr:rowOff>132906</xdr:rowOff>
    </xdr:to>
    <xdr:cxnSp macro="">
      <xdr:nvCxnSpPr>
        <xdr:cNvPr id="88" name="Straight Arrow Connector 87">
          <a:extLst>
            <a:ext uri="{FF2B5EF4-FFF2-40B4-BE49-F238E27FC236}">
              <a16:creationId xmlns:a16="http://schemas.microsoft.com/office/drawing/2014/main" id="{00000000-0008-0000-0500-000058000000}"/>
            </a:ext>
          </a:extLst>
        </xdr:cNvPr>
        <xdr:cNvCxnSpPr>
          <a:stCxn id="84" idx="2"/>
          <a:endCxn id="47" idx="0"/>
        </xdr:cNvCxnSpPr>
      </xdr:nvCxnSpPr>
      <xdr:spPr>
        <a:xfrm>
          <a:off x="4026774" y="12078257"/>
          <a:ext cx="670" cy="304242"/>
        </a:xfrm>
        <a:prstGeom prst="straightConnector1">
          <a:avLst/>
        </a:prstGeom>
        <a:ln w="635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194623</xdr:colOff>
      <xdr:row>105</xdr:row>
      <xdr:rowOff>152344</xdr:rowOff>
    </xdr:from>
    <xdr:to>
      <xdr:col>14</xdr:col>
      <xdr:colOff>194857</xdr:colOff>
      <xdr:row>108</xdr:row>
      <xdr:rowOff>114875</xdr:rowOff>
    </xdr:to>
    <xdr:cxnSp macro="">
      <xdr:nvCxnSpPr>
        <xdr:cNvPr id="89" name="Straight Arrow Connector 88">
          <a:extLst>
            <a:ext uri="{FF2B5EF4-FFF2-40B4-BE49-F238E27FC236}">
              <a16:creationId xmlns:a16="http://schemas.microsoft.com/office/drawing/2014/main" id="{00000000-0008-0000-0500-000059000000}"/>
            </a:ext>
          </a:extLst>
        </xdr:cNvPr>
        <xdr:cNvCxnSpPr>
          <a:stCxn id="83" idx="2"/>
          <a:endCxn id="84" idx="0"/>
        </xdr:cNvCxnSpPr>
      </xdr:nvCxnSpPr>
      <xdr:spPr>
        <a:xfrm flipH="1">
          <a:off x="4026774" y="11161472"/>
          <a:ext cx="234" cy="427705"/>
        </a:xfrm>
        <a:prstGeom prst="straightConnector1">
          <a:avLst/>
        </a:prstGeom>
        <a:ln w="635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22153</xdr:colOff>
      <xdr:row>114</xdr:row>
      <xdr:rowOff>80060</xdr:rowOff>
    </xdr:from>
    <xdr:to>
      <xdr:col>7</xdr:col>
      <xdr:colOff>180461</xdr:colOff>
      <xdr:row>117</xdr:row>
      <xdr:rowOff>44416</xdr:rowOff>
    </xdr:to>
    <xdr:cxnSp macro="">
      <xdr:nvCxnSpPr>
        <xdr:cNvPr id="107" name="Elbow Connector 12">
          <a:extLst>
            <a:ext uri="{FF2B5EF4-FFF2-40B4-BE49-F238E27FC236}">
              <a16:creationId xmlns:a16="http://schemas.microsoft.com/office/drawing/2014/main" id="{00000000-0008-0000-0500-00006B000000}"/>
            </a:ext>
          </a:extLst>
        </xdr:cNvPr>
        <xdr:cNvCxnSpPr>
          <a:stCxn id="35" idx="3"/>
          <a:endCxn id="67" idx="2"/>
        </xdr:cNvCxnSpPr>
      </xdr:nvCxnSpPr>
      <xdr:spPr>
        <a:xfrm flipV="1">
          <a:off x="1196165" y="12484711"/>
          <a:ext cx="889296" cy="285548"/>
        </a:xfrm>
        <a:prstGeom prst="bentConnector2">
          <a:avLst/>
        </a:prstGeom>
        <a:ln w="635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2938</xdr:colOff>
      <xdr:row>105</xdr:row>
      <xdr:rowOff>128283</xdr:rowOff>
    </xdr:from>
    <xdr:to>
      <xdr:col>17</xdr:col>
      <xdr:colOff>13593</xdr:colOff>
      <xdr:row>116</xdr:row>
      <xdr:rowOff>31307</xdr:rowOff>
    </xdr:to>
    <xdr:cxnSp macro="">
      <xdr:nvCxnSpPr>
        <xdr:cNvPr id="111" name="Elbow Connector 12">
          <a:extLst>
            <a:ext uri="{FF2B5EF4-FFF2-40B4-BE49-F238E27FC236}">
              <a16:creationId xmlns:a16="http://schemas.microsoft.com/office/drawing/2014/main" id="{00000000-0008-0000-0500-00006F000000}"/>
            </a:ext>
          </a:extLst>
        </xdr:cNvPr>
        <xdr:cNvCxnSpPr>
          <a:stCxn id="47" idx="3"/>
          <a:endCxn id="39" idx="1"/>
        </xdr:cNvCxnSpPr>
      </xdr:nvCxnSpPr>
      <xdr:spPr>
        <a:xfrm flipV="1">
          <a:off x="4510700" y="11137411"/>
          <a:ext cx="298620" cy="1553286"/>
        </a:xfrm>
        <a:prstGeom prst="bentConnector3">
          <a:avLst>
            <a:gd name="adj1" fmla="val 50000"/>
          </a:avLst>
        </a:prstGeom>
        <a:ln w="635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97194</xdr:colOff>
      <xdr:row>106</xdr:row>
      <xdr:rowOff>77757</xdr:rowOff>
    </xdr:from>
    <xdr:to>
      <xdr:col>28</xdr:col>
      <xdr:colOff>272143</xdr:colOff>
      <xdr:row>108</xdr:row>
      <xdr:rowOff>58318</xdr:rowOff>
    </xdr:to>
    <xdr:sp macro="" textlink="">
      <xdr:nvSpPr>
        <xdr:cNvPr id="183" name="Text Box 1">
          <a:extLst>
            <a:ext uri="{FF2B5EF4-FFF2-40B4-BE49-F238E27FC236}">
              <a16:creationId xmlns:a16="http://schemas.microsoft.com/office/drawing/2014/main" id="{00000000-0008-0000-0500-0000B7000000}"/>
            </a:ext>
          </a:extLst>
        </xdr:cNvPr>
        <xdr:cNvSpPr txBox="1">
          <a:spLocks noChangeArrowheads="1"/>
        </xdr:cNvSpPr>
      </xdr:nvSpPr>
      <xdr:spPr bwMode="auto">
        <a:xfrm>
          <a:off x="7211786" y="11352247"/>
          <a:ext cx="651199" cy="291581"/>
        </a:xfrm>
        <a:prstGeom prst="rect">
          <a:avLst/>
        </a:prstGeom>
        <a:noFill/>
        <a:ln w="6350">
          <a:noFill/>
          <a:miter lim="800000"/>
          <a:headEnd/>
          <a:tailEnd/>
        </a:ln>
      </xdr:spPr>
      <xdr:txBody>
        <a:bodyPr vertOverflow="clip" wrap="square" lIns="27432" tIns="27432" rIns="0" bIns="0" anchor="ctr" upright="1"/>
        <a:lstStyle/>
        <a:p>
          <a:r>
            <a:rPr lang="en-PH" sz="800">
              <a:effectLst/>
              <a:latin typeface="+mn-lt"/>
              <a:ea typeface="+mn-ea"/>
              <a:cs typeface="+mn-cs"/>
            </a:rPr>
            <a:t>Acceptable?</a:t>
          </a:r>
          <a:endParaRPr lang="en-PH" sz="400">
            <a:effectLst/>
          </a:endParaRPr>
        </a:p>
      </xdr:txBody>
    </xdr:sp>
    <xdr:clientData/>
  </xdr:twoCellAnchor>
  <xdr:twoCellAnchor>
    <xdr:from>
      <xdr:col>5</xdr:col>
      <xdr:colOff>88610</xdr:colOff>
      <xdr:row>112</xdr:row>
      <xdr:rowOff>154051</xdr:rowOff>
    </xdr:from>
    <xdr:to>
      <xdr:col>6</xdr:col>
      <xdr:colOff>122631</xdr:colOff>
      <xdr:row>113</xdr:row>
      <xdr:rowOff>1264</xdr:rowOff>
    </xdr:to>
    <xdr:cxnSp macro="">
      <xdr:nvCxnSpPr>
        <xdr:cNvPr id="105" name="Straight Arrow Connector 104">
          <a:extLst>
            <a:ext uri="{FF2B5EF4-FFF2-40B4-BE49-F238E27FC236}">
              <a16:creationId xmlns:a16="http://schemas.microsoft.com/office/drawing/2014/main" id="{00000000-0008-0000-0500-000069000000}"/>
            </a:ext>
          </a:extLst>
        </xdr:cNvPr>
        <xdr:cNvCxnSpPr>
          <a:stCxn id="36" idx="3"/>
          <a:endCxn id="67" idx="1"/>
        </xdr:cNvCxnSpPr>
      </xdr:nvCxnSpPr>
      <xdr:spPr>
        <a:xfrm>
          <a:off x="1506284" y="12248586"/>
          <a:ext cx="277684" cy="2271"/>
        </a:xfrm>
        <a:prstGeom prst="straightConnector1">
          <a:avLst/>
        </a:prstGeom>
        <a:ln w="635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191347</xdr:colOff>
      <xdr:row>107</xdr:row>
      <xdr:rowOff>27011</xdr:rowOff>
    </xdr:from>
    <xdr:to>
      <xdr:col>13</xdr:col>
      <xdr:colOff>11078</xdr:colOff>
      <xdr:row>116</xdr:row>
      <xdr:rowOff>31306</xdr:rowOff>
    </xdr:to>
    <xdr:cxnSp macro="">
      <xdr:nvCxnSpPr>
        <xdr:cNvPr id="110" name="Elbow Connector 12">
          <a:extLst>
            <a:ext uri="{FF2B5EF4-FFF2-40B4-BE49-F238E27FC236}">
              <a16:creationId xmlns:a16="http://schemas.microsoft.com/office/drawing/2014/main" id="{00000000-0008-0000-0500-00006E000000}"/>
            </a:ext>
          </a:extLst>
        </xdr:cNvPr>
        <xdr:cNvCxnSpPr>
          <a:stCxn id="70" idx="2"/>
          <a:endCxn id="47" idx="1"/>
        </xdr:cNvCxnSpPr>
      </xdr:nvCxnSpPr>
      <xdr:spPr>
        <a:xfrm rot="16200000" flipH="1">
          <a:off x="2513541" y="11660049"/>
          <a:ext cx="1344441" cy="716853"/>
        </a:xfrm>
        <a:prstGeom prst="bentConnector2">
          <a:avLst/>
        </a:prstGeom>
        <a:ln w="635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314325</xdr:colOff>
          <xdr:row>12</xdr:row>
          <xdr:rowOff>57150</xdr:rowOff>
        </xdr:from>
        <xdr:to>
          <xdr:col>16</xdr:col>
          <xdr:colOff>114300</xdr:colOff>
          <xdr:row>13</xdr:row>
          <xdr:rowOff>19050</xdr:rowOff>
        </xdr:to>
        <xdr:sp macro="" textlink="">
          <xdr:nvSpPr>
            <xdr:cNvPr id="15395" name="Check Box 35" hidden="1">
              <a:extLst>
                <a:ext uri="{63B3BB69-23CF-44E3-9099-C40C66FF867C}">
                  <a14:compatExt spid="_x0000_s15395"/>
                </a:ext>
                <a:ext uri="{FF2B5EF4-FFF2-40B4-BE49-F238E27FC236}">
                  <a16:creationId xmlns:a16="http://schemas.microsoft.com/office/drawing/2014/main" id="{00000000-0008-0000-0500-000023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Pick-up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323850</xdr:colOff>
          <xdr:row>13</xdr:row>
          <xdr:rowOff>38100</xdr:rowOff>
        </xdr:from>
        <xdr:to>
          <xdr:col>16</xdr:col>
          <xdr:colOff>123825</xdr:colOff>
          <xdr:row>15</xdr:row>
          <xdr:rowOff>28575</xdr:rowOff>
        </xdr:to>
        <xdr:sp macro="" textlink="">
          <xdr:nvSpPr>
            <xdr:cNvPr id="15396" name="Check Box 36" hidden="1">
              <a:extLst>
                <a:ext uri="{63B3BB69-23CF-44E3-9099-C40C66FF867C}">
                  <a14:compatExt spid="_x0000_s15396"/>
                </a:ext>
                <a:ext uri="{FF2B5EF4-FFF2-40B4-BE49-F238E27FC236}">
                  <a16:creationId xmlns:a16="http://schemas.microsoft.com/office/drawing/2014/main" id="{00000000-0008-0000-0500-000024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Deliver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15</xdr:row>
          <xdr:rowOff>57150</xdr:rowOff>
        </xdr:from>
        <xdr:to>
          <xdr:col>16</xdr:col>
          <xdr:colOff>123825</xdr:colOff>
          <xdr:row>17</xdr:row>
          <xdr:rowOff>19050</xdr:rowOff>
        </xdr:to>
        <xdr:sp macro="" textlink="">
          <xdr:nvSpPr>
            <xdr:cNvPr id="15397" name="Check Box 37" hidden="1">
              <a:extLst>
                <a:ext uri="{63B3BB69-23CF-44E3-9099-C40C66FF867C}">
                  <a14:compatExt spid="_x0000_s15397"/>
                </a:ext>
                <a:ext uri="{FF2B5EF4-FFF2-40B4-BE49-F238E27FC236}">
                  <a16:creationId xmlns:a16="http://schemas.microsoft.com/office/drawing/2014/main" id="{00000000-0008-0000-0500-000025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Install</a:t>
              </a:r>
            </a:p>
          </xdr:txBody>
        </xdr:sp>
        <xdr:clientData/>
      </xdr:twoCellAnchor>
    </mc:Choice>
    <mc:Fallback/>
  </mc:AlternateContent>
  <xdr:twoCellAnchor>
    <xdr:from>
      <xdr:col>27</xdr:col>
      <xdr:colOff>142071</xdr:colOff>
      <xdr:row>108</xdr:row>
      <xdr:rowOff>138355</xdr:rowOff>
    </xdr:from>
    <xdr:to>
      <xdr:col>27</xdr:col>
      <xdr:colOff>142305</xdr:colOff>
      <xdr:row>110</xdr:row>
      <xdr:rowOff>148570</xdr:rowOff>
    </xdr:to>
    <xdr:cxnSp macro="">
      <xdr:nvCxnSpPr>
        <xdr:cNvPr id="80" name="Straight Arrow Connector 79">
          <a:extLst>
            <a:ext uri="{FF2B5EF4-FFF2-40B4-BE49-F238E27FC236}">
              <a16:creationId xmlns:a16="http://schemas.microsoft.com/office/drawing/2014/main" id="{00000000-0008-0000-0500-000050000000}"/>
            </a:ext>
          </a:extLst>
        </xdr:cNvPr>
        <xdr:cNvCxnSpPr/>
      </xdr:nvCxnSpPr>
      <xdr:spPr>
        <a:xfrm flipH="1">
          <a:off x="7374502" y="10766941"/>
          <a:ext cx="234" cy="312388"/>
        </a:xfrm>
        <a:prstGeom prst="straightConnector1">
          <a:avLst/>
        </a:prstGeom>
        <a:ln w="635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143384</xdr:colOff>
      <xdr:row>113</xdr:row>
      <xdr:rowOff>54275</xdr:rowOff>
    </xdr:from>
    <xdr:to>
      <xdr:col>27</xdr:col>
      <xdr:colOff>143618</xdr:colOff>
      <xdr:row>115</xdr:row>
      <xdr:rowOff>117042</xdr:rowOff>
    </xdr:to>
    <xdr:cxnSp macro="">
      <xdr:nvCxnSpPr>
        <xdr:cNvPr id="91" name="Straight Arrow Connector 90">
          <a:extLst>
            <a:ext uri="{FF2B5EF4-FFF2-40B4-BE49-F238E27FC236}">
              <a16:creationId xmlns:a16="http://schemas.microsoft.com/office/drawing/2014/main" id="{00000000-0008-0000-0500-00005B000000}"/>
            </a:ext>
          </a:extLst>
        </xdr:cNvPr>
        <xdr:cNvCxnSpPr/>
      </xdr:nvCxnSpPr>
      <xdr:spPr>
        <a:xfrm flipH="1">
          <a:off x="7375815" y="11438292"/>
          <a:ext cx="234" cy="312388"/>
        </a:xfrm>
        <a:prstGeom prst="straightConnector1">
          <a:avLst/>
        </a:prstGeom>
        <a:ln w="635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242985</xdr:colOff>
      <xdr:row>4</xdr:row>
      <xdr:rowOff>29156</xdr:rowOff>
    </xdr:from>
    <xdr:to>
      <xdr:col>32</xdr:col>
      <xdr:colOff>106914</xdr:colOff>
      <xdr:row>8</xdr:row>
      <xdr:rowOff>29157</xdr:rowOff>
    </xdr:to>
    <xdr:sp macro="" textlink="">
      <xdr:nvSpPr>
        <xdr:cNvPr id="3" name="Rectangular Callou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9796560" y="572081"/>
          <a:ext cx="1359354" cy="495301"/>
        </a:xfrm>
        <a:prstGeom prst="wedgeRectCallout">
          <a:avLst>
            <a:gd name="adj1" fmla="val -41317"/>
            <a:gd name="adj2" fmla="val -14048"/>
          </a:avLst>
        </a:prstGeom>
        <a:solidFill>
          <a:srgbClr val="FFFF99"/>
        </a:solidFill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PH" sz="1100">
              <a:solidFill>
                <a:sysClr val="windowText" lastClr="000000"/>
              </a:solidFill>
            </a:rPr>
            <a:t>Need</a:t>
          </a:r>
          <a:r>
            <a:rPr lang="en-PH" sz="1100" baseline="0">
              <a:solidFill>
                <a:sysClr val="windowText" lastClr="000000"/>
              </a:solidFill>
            </a:rPr>
            <a:t> to fill up by requesting section</a:t>
          </a:r>
          <a:endParaRPr lang="en-PH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29</xdr:col>
      <xdr:colOff>230156</xdr:colOff>
      <xdr:row>9</xdr:row>
      <xdr:rowOff>45485</xdr:rowOff>
    </xdr:from>
    <xdr:to>
      <xdr:col>32</xdr:col>
      <xdr:colOff>94085</xdr:colOff>
      <xdr:row>12</xdr:row>
      <xdr:rowOff>94083</xdr:rowOff>
    </xdr:to>
    <xdr:sp macro="" textlink="">
      <xdr:nvSpPr>
        <xdr:cNvPr id="4" name="Rectangular Callou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9783731" y="1226585"/>
          <a:ext cx="1359354" cy="496273"/>
        </a:xfrm>
        <a:prstGeom prst="wedgeRectCallout">
          <a:avLst>
            <a:gd name="adj1" fmla="val -41317"/>
            <a:gd name="adj2" fmla="val -14048"/>
          </a:avLst>
        </a:prstGeom>
        <a:solidFill>
          <a:srgbClr val="CCFF99"/>
        </a:solidFill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PH" sz="1100" baseline="0">
              <a:solidFill>
                <a:sysClr val="windowText" lastClr="000000"/>
              </a:solidFill>
            </a:rPr>
            <a:t>To be filled by PE section</a:t>
          </a:r>
          <a:endParaRPr lang="en-PH" sz="1100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0</xdr:col>
      <xdr:colOff>48599</xdr:colOff>
      <xdr:row>35</xdr:row>
      <xdr:rowOff>48597</xdr:rowOff>
    </xdr:from>
    <xdr:ext cx="3514616" cy="593304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48599" y="5063801"/>
          <a:ext cx="3514616" cy="59330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3200" b="1" cap="none" spc="0">
              <a:ln w="3175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</a:rPr>
            <a:t>Sample if PE Design</a:t>
          </a:r>
        </a:p>
      </xdr:txBody>
    </xdr:sp>
    <xdr:clientData/>
  </xdr:oneCellAnchor>
  <xdr:twoCellAnchor>
    <xdr:from>
      <xdr:col>29</xdr:col>
      <xdr:colOff>268450</xdr:colOff>
      <xdr:row>18</xdr:row>
      <xdr:rowOff>108856</xdr:rowOff>
    </xdr:from>
    <xdr:to>
      <xdr:col>33</xdr:col>
      <xdr:colOff>437372</xdr:colOff>
      <xdr:row>27</xdr:row>
      <xdr:rowOff>116632</xdr:rowOff>
    </xdr:to>
    <xdr:sp macro="" textlink="">
      <xdr:nvSpPr>
        <xdr:cNvPr id="6" name="Rectangular Callou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9803169" y="2645616"/>
          <a:ext cx="2278030" cy="1319894"/>
        </a:xfrm>
        <a:prstGeom prst="wedgeRectCallout">
          <a:avLst>
            <a:gd name="adj1" fmla="val -68624"/>
            <a:gd name="adj2" fmla="val -136286"/>
          </a:avLst>
        </a:prstGeom>
        <a:solidFill>
          <a:srgbClr val="FFFF99"/>
        </a:solidFill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PH" sz="1100">
              <a:solidFill>
                <a:sysClr val="windowText" lastClr="000000"/>
              </a:solidFill>
            </a:rPr>
            <a:t>No Need to provide a drawing,</a:t>
          </a:r>
          <a:r>
            <a:rPr lang="en-PH" sz="1100" baseline="0">
              <a:solidFill>
                <a:sysClr val="windowText" lastClr="000000"/>
              </a:solidFill>
            </a:rPr>
            <a:t> just input PE sample number</a:t>
          </a:r>
          <a:endParaRPr lang="en-PH" sz="11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136071</xdr:colOff>
      <xdr:row>7</xdr:row>
      <xdr:rowOff>80616</xdr:rowOff>
    </xdr:from>
    <xdr:to>
      <xdr:col>5</xdr:col>
      <xdr:colOff>349357</xdr:colOff>
      <xdr:row>22</xdr:row>
      <xdr:rowOff>62644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9921" y="2138016"/>
          <a:ext cx="2651686" cy="2839528"/>
        </a:xfrm>
        <a:prstGeom prst="rect">
          <a:avLst/>
        </a:prstGeom>
      </xdr:spPr>
    </xdr:pic>
    <xdr:clientData/>
  </xdr:twoCellAnchor>
  <xdr:twoCellAnchor editAs="oneCell">
    <xdr:from>
      <xdr:col>7</xdr:col>
      <xdr:colOff>261615</xdr:colOff>
      <xdr:row>7</xdr:row>
      <xdr:rowOff>68035</xdr:rowOff>
    </xdr:from>
    <xdr:to>
      <xdr:col>11</xdr:col>
      <xdr:colOff>509283</xdr:colOff>
      <xdr:row>22</xdr:row>
      <xdr:rowOff>175865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33815" y="2125435"/>
          <a:ext cx="2686068" cy="2965330"/>
        </a:xfrm>
        <a:prstGeom prst="rect">
          <a:avLst/>
        </a:prstGeom>
      </xdr:spPr>
    </xdr:pic>
    <xdr:clientData/>
  </xdr:twoCellAnchor>
  <xdr:twoCellAnchor editAs="oneCell">
    <xdr:from>
      <xdr:col>13</xdr:col>
      <xdr:colOff>154813</xdr:colOff>
      <xdr:row>7</xdr:row>
      <xdr:rowOff>7702</xdr:rowOff>
    </xdr:from>
    <xdr:to>
      <xdr:col>17</xdr:col>
      <xdr:colOff>495814</xdr:colOff>
      <xdr:row>21</xdr:row>
      <xdr:rowOff>135301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137263" y="2065102"/>
          <a:ext cx="2779401" cy="2794599"/>
        </a:xfrm>
        <a:prstGeom prst="rect">
          <a:avLst/>
        </a:prstGeom>
      </xdr:spPr>
    </xdr:pic>
    <xdr:clientData/>
  </xdr:twoCellAnchor>
  <xdr:oneCellAnchor>
    <xdr:from>
      <xdr:col>7</xdr:col>
      <xdr:colOff>326572</xdr:colOff>
      <xdr:row>31</xdr:row>
      <xdr:rowOff>122464</xdr:rowOff>
    </xdr:from>
    <xdr:ext cx="2340430" cy="2955933"/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082143" y="7034893"/>
          <a:ext cx="2340430" cy="2955933"/>
        </a:xfrm>
        <a:prstGeom prst="rect">
          <a:avLst/>
        </a:prstGeom>
      </xdr:spPr>
    </xdr:pic>
    <xdr:clientData/>
  </xdr:oneCellAnchor>
  <xdr:oneCellAnchor>
    <xdr:from>
      <xdr:col>1</xdr:col>
      <xdr:colOff>81644</xdr:colOff>
      <xdr:row>29</xdr:row>
      <xdr:rowOff>122465</xdr:rowOff>
    </xdr:from>
    <xdr:ext cx="2785534" cy="3416475"/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08215" y="6653894"/>
          <a:ext cx="2785534" cy="3416475"/>
        </a:xfrm>
        <a:prstGeom prst="rect">
          <a:avLst/>
        </a:prstGeom>
      </xdr:spPr>
    </xdr:pic>
    <xdr:clientData/>
  </xdr:oneCellAnchor>
  <xdr:oneCellAnchor>
    <xdr:from>
      <xdr:col>19</xdr:col>
      <xdr:colOff>171981</xdr:colOff>
      <xdr:row>33</xdr:row>
      <xdr:rowOff>11556</xdr:rowOff>
    </xdr:from>
    <xdr:ext cx="2881312" cy="2258149"/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302124" y="7304985"/>
          <a:ext cx="2881312" cy="2258149"/>
        </a:xfrm>
        <a:prstGeom prst="rect">
          <a:avLst/>
        </a:prstGeom>
      </xdr:spPr>
    </xdr:pic>
    <xdr:clientData/>
  </xdr:oneCellAnchor>
  <xdr:oneCellAnchor>
    <xdr:from>
      <xdr:col>13</xdr:col>
      <xdr:colOff>46116</xdr:colOff>
      <xdr:row>31</xdr:row>
      <xdr:rowOff>82668</xdr:rowOff>
    </xdr:from>
    <xdr:ext cx="2928937" cy="2250611"/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801687" y="6995097"/>
          <a:ext cx="2928937" cy="2250611"/>
        </a:xfrm>
        <a:prstGeom prst="rect">
          <a:avLst/>
        </a:prstGeom>
      </xdr:spPr>
    </xdr:pic>
    <xdr:clientData/>
  </xdr:oneCellAnchor>
  <xdr:twoCellAnchor>
    <xdr:from>
      <xdr:col>19</xdr:col>
      <xdr:colOff>217716</xdr:colOff>
      <xdr:row>7</xdr:row>
      <xdr:rowOff>81646</xdr:rowOff>
    </xdr:from>
    <xdr:to>
      <xdr:col>23</xdr:col>
      <xdr:colOff>108858</xdr:colOff>
      <xdr:row>21</xdr:row>
      <xdr:rowOff>149681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GrpSpPr/>
      </xdr:nvGrpSpPr>
      <xdr:grpSpPr>
        <a:xfrm>
          <a:off x="10681609" y="1687289"/>
          <a:ext cx="2340428" cy="2735035"/>
          <a:chOff x="933450" y="485775"/>
          <a:chExt cx="2952750" cy="3417335"/>
        </a:xfrm>
      </xdr:grpSpPr>
      <xdr:grpSp>
        <xdr:nvGrpSpPr>
          <xdr:cNvPr id="32" name="Group 31">
            <a:extLst>
              <a:ext uri="{FF2B5EF4-FFF2-40B4-BE49-F238E27FC236}">
                <a16:creationId xmlns:a16="http://schemas.microsoft.com/office/drawing/2014/main" id="{00000000-0008-0000-0200-000020000000}"/>
              </a:ext>
            </a:extLst>
          </xdr:cNvPr>
          <xdr:cNvGrpSpPr/>
        </xdr:nvGrpSpPr>
        <xdr:grpSpPr>
          <a:xfrm>
            <a:off x="1971675" y="638175"/>
            <a:ext cx="1914525" cy="2933700"/>
            <a:chOff x="2809875" y="1009650"/>
            <a:chExt cx="1914525" cy="2933700"/>
          </a:xfrm>
        </xdr:grpSpPr>
        <xdr:cxnSp macro="">
          <xdr:nvCxnSpPr>
            <xdr:cNvPr id="46" name="Straight Connector 45">
              <a:extLst>
                <a:ext uri="{FF2B5EF4-FFF2-40B4-BE49-F238E27FC236}">
                  <a16:creationId xmlns:a16="http://schemas.microsoft.com/office/drawing/2014/main" id="{00000000-0008-0000-0200-00002E000000}"/>
                </a:ext>
              </a:extLst>
            </xdr:cNvPr>
            <xdr:cNvCxnSpPr/>
          </xdr:nvCxnSpPr>
          <xdr:spPr>
            <a:xfrm flipH="1">
              <a:off x="3009900" y="1714500"/>
              <a:ext cx="19051" cy="1428750"/>
            </a:xfrm>
            <a:prstGeom prst="line">
              <a:avLst/>
            </a:prstGeom>
            <a:ln w="34925">
              <a:solidFill>
                <a:schemeClr val="tx2">
                  <a:lumMod val="7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7" name="Straight Connector 46">
              <a:extLst>
                <a:ext uri="{FF2B5EF4-FFF2-40B4-BE49-F238E27FC236}">
                  <a16:creationId xmlns:a16="http://schemas.microsoft.com/office/drawing/2014/main" id="{00000000-0008-0000-0200-00002F000000}"/>
                </a:ext>
              </a:extLst>
            </xdr:cNvPr>
            <xdr:cNvCxnSpPr/>
          </xdr:nvCxnSpPr>
          <xdr:spPr>
            <a:xfrm flipH="1">
              <a:off x="2809876" y="3086100"/>
              <a:ext cx="9524" cy="628650"/>
            </a:xfrm>
            <a:prstGeom prst="line">
              <a:avLst/>
            </a:prstGeom>
            <a:ln w="34925">
              <a:solidFill>
                <a:schemeClr val="tx2">
                  <a:lumMod val="7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8" name="Straight Connector 47">
              <a:extLst>
                <a:ext uri="{FF2B5EF4-FFF2-40B4-BE49-F238E27FC236}">
                  <a16:creationId xmlns:a16="http://schemas.microsoft.com/office/drawing/2014/main" id="{00000000-0008-0000-0200-000030000000}"/>
                </a:ext>
              </a:extLst>
            </xdr:cNvPr>
            <xdr:cNvCxnSpPr/>
          </xdr:nvCxnSpPr>
          <xdr:spPr>
            <a:xfrm>
              <a:off x="2809875" y="3438525"/>
              <a:ext cx="857250" cy="247650"/>
            </a:xfrm>
            <a:prstGeom prst="line">
              <a:avLst/>
            </a:prstGeom>
            <a:ln w="34925">
              <a:solidFill>
                <a:schemeClr val="tx2">
                  <a:lumMod val="7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9" name="Straight Connector 48">
              <a:extLst>
                <a:ext uri="{FF2B5EF4-FFF2-40B4-BE49-F238E27FC236}">
                  <a16:creationId xmlns:a16="http://schemas.microsoft.com/office/drawing/2014/main" id="{00000000-0008-0000-0200-000031000000}"/>
                </a:ext>
              </a:extLst>
            </xdr:cNvPr>
            <xdr:cNvCxnSpPr/>
          </xdr:nvCxnSpPr>
          <xdr:spPr>
            <a:xfrm flipH="1">
              <a:off x="4067175" y="1009650"/>
              <a:ext cx="19051" cy="1428750"/>
            </a:xfrm>
            <a:prstGeom prst="line">
              <a:avLst/>
            </a:prstGeom>
            <a:ln w="34925">
              <a:solidFill>
                <a:schemeClr val="tx2">
                  <a:lumMod val="7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0" name="Straight Connector 49">
              <a:extLst>
                <a:ext uri="{FF2B5EF4-FFF2-40B4-BE49-F238E27FC236}">
                  <a16:creationId xmlns:a16="http://schemas.microsoft.com/office/drawing/2014/main" id="{00000000-0008-0000-0200-000032000000}"/>
                </a:ext>
              </a:extLst>
            </xdr:cNvPr>
            <xdr:cNvCxnSpPr/>
          </xdr:nvCxnSpPr>
          <xdr:spPr>
            <a:xfrm flipH="1">
              <a:off x="3867151" y="2381250"/>
              <a:ext cx="9524" cy="628650"/>
            </a:xfrm>
            <a:prstGeom prst="line">
              <a:avLst/>
            </a:prstGeom>
            <a:ln w="34925">
              <a:solidFill>
                <a:schemeClr val="tx2">
                  <a:lumMod val="7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1" name="Straight Connector 50">
              <a:extLst>
                <a:ext uri="{FF2B5EF4-FFF2-40B4-BE49-F238E27FC236}">
                  <a16:creationId xmlns:a16="http://schemas.microsoft.com/office/drawing/2014/main" id="{00000000-0008-0000-0200-000033000000}"/>
                </a:ext>
              </a:extLst>
            </xdr:cNvPr>
            <xdr:cNvCxnSpPr/>
          </xdr:nvCxnSpPr>
          <xdr:spPr>
            <a:xfrm flipH="1">
              <a:off x="4705351" y="2609850"/>
              <a:ext cx="9524" cy="628650"/>
            </a:xfrm>
            <a:prstGeom prst="line">
              <a:avLst/>
            </a:prstGeom>
            <a:ln w="34925">
              <a:solidFill>
                <a:schemeClr val="tx2">
                  <a:lumMod val="7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2" name="Straight Connector 51">
              <a:extLst>
                <a:ext uri="{FF2B5EF4-FFF2-40B4-BE49-F238E27FC236}">
                  <a16:creationId xmlns:a16="http://schemas.microsoft.com/office/drawing/2014/main" id="{00000000-0008-0000-0200-000034000000}"/>
                </a:ext>
              </a:extLst>
            </xdr:cNvPr>
            <xdr:cNvCxnSpPr/>
          </xdr:nvCxnSpPr>
          <xdr:spPr>
            <a:xfrm>
              <a:off x="3867150" y="2390775"/>
              <a:ext cx="857250" cy="247650"/>
            </a:xfrm>
            <a:prstGeom prst="line">
              <a:avLst/>
            </a:prstGeom>
            <a:ln w="34925">
              <a:solidFill>
                <a:schemeClr val="tx2">
                  <a:lumMod val="7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3" name="Straight Connector 52">
              <a:extLst>
                <a:ext uri="{FF2B5EF4-FFF2-40B4-BE49-F238E27FC236}">
                  <a16:creationId xmlns:a16="http://schemas.microsoft.com/office/drawing/2014/main" id="{00000000-0008-0000-0200-000035000000}"/>
                </a:ext>
              </a:extLst>
            </xdr:cNvPr>
            <xdr:cNvCxnSpPr/>
          </xdr:nvCxnSpPr>
          <xdr:spPr>
            <a:xfrm>
              <a:off x="3867150" y="2733675"/>
              <a:ext cx="857250" cy="247650"/>
            </a:xfrm>
            <a:prstGeom prst="line">
              <a:avLst/>
            </a:prstGeom>
            <a:ln w="34925">
              <a:solidFill>
                <a:schemeClr val="tx2">
                  <a:lumMod val="7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4" name="Straight Connector 53">
              <a:extLst>
                <a:ext uri="{FF2B5EF4-FFF2-40B4-BE49-F238E27FC236}">
                  <a16:creationId xmlns:a16="http://schemas.microsoft.com/office/drawing/2014/main" id="{00000000-0008-0000-0200-000036000000}"/>
                </a:ext>
              </a:extLst>
            </xdr:cNvPr>
            <xdr:cNvCxnSpPr/>
          </xdr:nvCxnSpPr>
          <xdr:spPr>
            <a:xfrm flipH="1">
              <a:off x="3019426" y="1009650"/>
              <a:ext cx="1085849" cy="714375"/>
            </a:xfrm>
            <a:prstGeom prst="line">
              <a:avLst/>
            </a:prstGeom>
            <a:ln w="34925">
              <a:solidFill>
                <a:schemeClr val="tx2">
                  <a:lumMod val="7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5" name="Straight Connector 54">
              <a:extLst>
                <a:ext uri="{FF2B5EF4-FFF2-40B4-BE49-F238E27FC236}">
                  <a16:creationId xmlns:a16="http://schemas.microsoft.com/office/drawing/2014/main" id="{00000000-0008-0000-0200-000037000000}"/>
                </a:ext>
              </a:extLst>
            </xdr:cNvPr>
            <xdr:cNvCxnSpPr/>
          </xdr:nvCxnSpPr>
          <xdr:spPr>
            <a:xfrm flipH="1">
              <a:off x="2809876" y="2733675"/>
              <a:ext cx="1066799" cy="714375"/>
            </a:xfrm>
            <a:prstGeom prst="line">
              <a:avLst/>
            </a:prstGeom>
            <a:ln w="34925">
              <a:solidFill>
                <a:schemeClr val="tx2">
                  <a:lumMod val="7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6" name="Straight Connector 55">
              <a:extLst>
                <a:ext uri="{FF2B5EF4-FFF2-40B4-BE49-F238E27FC236}">
                  <a16:creationId xmlns:a16="http://schemas.microsoft.com/office/drawing/2014/main" id="{00000000-0008-0000-0200-000038000000}"/>
                </a:ext>
              </a:extLst>
            </xdr:cNvPr>
            <xdr:cNvCxnSpPr/>
          </xdr:nvCxnSpPr>
          <xdr:spPr>
            <a:xfrm flipH="1">
              <a:off x="3629026" y="2990850"/>
              <a:ext cx="1066799" cy="714375"/>
            </a:xfrm>
            <a:prstGeom prst="line">
              <a:avLst/>
            </a:prstGeom>
            <a:ln w="34925">
              <a:solidFill>
                <a:schemeClr val="tx2">
                  <a:lumMod val="7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7" name="Straight Connector 56">
              <a:extLst>
                <a:ext uri="{FF2B5EF4-FFF2-40B4-BE49-F238E27FC236}">
                  <a16:creationId xmlns:a16="http://schemas.microsoft.com/office/drawing/2014/main" id="{00000000-0008-0000-0200-000039000000}"/>
                </a:ext>
              </a:extLst>
            </xdr:cNvPr>
            <xdr:cNvCxnSpPr/>
          </xdr:nvCxnSpPr>
          <xdr:spPr>
            <a:xfrm flipH="1">
              <a:off x="2809876" y="2505075"/>
              <a:ext cx="1066799" cy="714375"/>
            </a:xfrm>
            <a:prstGeom prst="line">
              <a:avLst/>
            </a:prstGeom>
            <a:ln w="34925">
              <a:solidFill>
                <a:schemeClr val="tx2">
                  <a:lumMod val="7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58" name="Freeform 57">
              <a:extLst>
                <a:ext uri="{FF2B5EF4-FFF2-40B4-BE49-F238E27FC236}">
                  <a16:creationId xmlns:a16="http://schemas.microsoft.com/office/drawing/2014/main" id="{00000000-0008-0000-0200-00003A000000}"/>
                </a:ext>
              </a:extLst>
            </xdr:cNvPr>
            <xdr:cNvSpPr/>
          </xdr:nvSpPr>
          <xdr:spPr>
            <a:xfrm>
              <a:off x="2828925" y="2733675"/>
              <a:ext cx="1895475" cy="952500"/>
            </a:xfrm>
            <a:custGeom>
              <a:avLst/>
              <a:gdLst>
                <a:gd name="connsiteX0" fmla="*/ 0 w 1895475"/>
                <a:gd name="connsiteY0" fmla="*/ 695325 h 952500"/>
                <a:gd name="connsiteX1" fmla="*/ 1047750 w 1895475"/>
                <a:gd name="connsiteY1" fmla="*/ 0 h 952500"/>
                <a:gd name="connsiteX2" fmla="*/ 1895475 w 1895475"/>
                <a:gd name="connsiteY2" fmla="*/ 238125 h 952500"/>
                <a:gd name="connsiteX3" fmla="*/ 819150 w 1895475"/>
                <a:gd name="connsiteY3" fmla="*/ 952500 h 952500"/>
                <a:gd name="connsiteX4" fmla="*/ 0 w 1895475"/>
                <a:gd name="connsiteY4" fmla="*/ 695325 h 95250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</a:cxnLst>
              <a:rect l="l" t="t" r="r" b="b"/>
              <a:pathLst>
                <a:path w="1895475" h="952500">
                  <a:moveTo>
                    <a:pt x="0" y="695325"/>
                  </a:moveTo>
                  <a:lnTo>
                    <a:pt x="1047750" y="0"/>
                  </a:lnTo>
                  <a:lnTo>
                    <a:pt x="1895475" y="238125"/>
                  </a:lnTo>
                  <a:lnTo>
                    <a:pt x="819150" y="952500"/>
                  </a:lnTo>
                  <a:lnTo>
                    <a:pt x="0" y="695325"/>
                  </a:lnTo>
                  <a:close/>
                </a:path>
              </a:pathLst>
            </a:custGeom>
            <a:solidFill>
              <a:schemeClr val="bg1">
                <a:lumMod val="65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PH" sz="1100"/>
            </a:p>
          </xdr:txBody>
        </xdr:sp>
        <xdr:cxnSp macro="">
          <xdr:nvCxnSpPr>
            <xdr:cNvPr id="59" name="Straight Connector 58">
              <a:extLst>
                <a:ext uri="{FF2B5EF4-FFF2-40B4-BE49-F238E27FC236}">
                  <a16:creationId xmlns:a16="http://schemas.microsoft.com/office/drawing/2014/main" id="{00000000-0008-0000-0200-00003B000000}"/>
                </a:ext>
              </a:extLst>
            </xdr:cNvPr>
            <xdr:cNvCxnSpPr/>
          </xdr:nvCxnSpPr>
          <xdr:spPr>
            <a:xfrm flipH="1">
              <a:off x="3648076" y="3314700"/>
              <a:ext cx="9524" cy="628650"/>
            </a:xfrm>
            <a:prstGeom prst="line">
              <a:avLst/>
            </a:prstGeom>
            <a:ln w="34925">
              <a:solidFill>
                <a:schemeClr val="tx2">
                  <a:lumMod val="7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0" name="Straight Connector 59">
              <a:extLst>
                <a:ext uri="{FF2B5EF4-FFF2-40B4-BE49-F238E27FC236}">
                  <a16:creationId xmlns:a16="http://schemas.microsoft.com/office/drawing/2014/main" id="{00000000-0008-0000-0200-00003C000000}"/>
                </a:ext>
              </a:extLst>
            </xdr:cNvPr>
            <xdr:cNvCxnSpPr/>
          </xdr:nvCxnSpPr>
          <xdr:spPr>
            <a:xfrm>
              <a:off x="2809875" y="3095625"/>
              <a:ext cx="857250" cy="247650"/>
            </a:xfrm>
            <a:prstGeom prst="line">
              <a:avLst/>
            </a:prstGeom>
            <a:ln w="34925">
              <a:solidFill>
                <a:schemeClr val="tx2">
                  <a:lumMod val="7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1" name="Straight Connector 60">
              <a:extLst>
                <a:ext uri="{FF2B5EF4-FFF2-40B4-BE49-F238E27FC236}">
                  <a16:creationId xmlns:a16="http://schemas.microsoft.com/office/drawing/2014/main" id="{00000000-0008-0000-0200-00003D000000}"/>
                </a:ext>
              </a:extLst>
            </xdr:cNvPr>
            <xdr:cNvCxnSpPr/>
          </xdr:nvCxnSpPr>
          <xdr:spPr>
            <a:xfrm>
              <a:off x="3152775" y="1647825"/>
              <a:ext cx="323850" cy="85725"/>
            </a:xfrm>
            <a:prstGeom prst="line">
              <a:avLst/>
            </a:prstGeom>
            <a:ln w="38100">
              <a:solidFill>
                <a:schemeClr val="tx2">
                  <a:lumMod val="7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2" name="Straight Connector 61">
              <a:extLst>
                <a:ext uri="{FF2B5EF4-FFF2-40B4-BE49-F238E27FC236}">
                  <a16:creationId xmlns:a16="http://schemas.microsoft.com/office/drawing/2014/main" id="{00000000-0008-0000-0200-00003E000000}"/>
                </a:ext>
              </a:extLst>
            </xdr:cNvPr>
            <xdr:cNvCxnSpPr/>
          </xdr:nvCxnSpPr>
          <xdr:spPr>
            <a:xfrm>
              <a:off x="3714750" y="1257300"/>
              <a:ext cx="323850" cy="85725"/>
            </a:xfrm>
            <a:prstGeom prst="line">
              <a:avLst/>
            </a:prstGeom>
            <a:ln w="38100">
              <a:solidFill>
                <a:schemeClr val="tx2">
                  <a:lumMod val="7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cxnSp macro="">
        <xdr:nvCxnSpPr>
          <xdr:cNvPr id="33" name="Straight Connector 32">
            <a:extLst>
              <a:ext uri="{FF2B5EF4-FFF2-40B4-BE49-F238E27FC236}">
                <a16:creationId xmlns:a16="http://schemas.microsoft.com/office/drawing/2014/main" id="{00000000-0008-0000-0200-000021000000}"/>
              </a:ext>
            </a:extLst>
          </xdr:cNvPr>
          <xdr:cNvCxnSpPr/>
        </xdr:nvCxnSpPr>
        <xdr:spPr>
          <a:xfrm>
            <a:off x="2390775" y="485775"/>
            <a:ext cx="847725" cy="142875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4" name="Straight Connector 33">
            <a:extLst>
              <a:ext uri="{FF2B5EF4-FFF2-40B4-BE49-F238E27FC236}">
                <a16:creationId xmlns:a16="http://schemas.microsoft.com/office/drawing/2014/main" id="{00000000-0008-0000-0200-000022000000}"/>
              </a:ext>
            </a:extLst>
          </xdr:cNvPr>
          <xdr:cNvCxnSpPr/>
        </xdr:nvCxnSpPr>
        <xdr:spPr>
          <a:xfrm>
            <a:off x="1285875" y="1162050"/>
            <a:ext cx="847725" cy="142875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5" name="Straight Connector 34">
            <a:extLst>
              <a:ext uri="{FF2B5EF4-FFF2-40B4-BE49-F238E27FC236}">
                <a16:creationId xmlns:a16="http://schemas.microsoft.com/office/drawing/2014/main" id="{00000000-0008-0000-0200-000023000000}"/>
              </a:ext>
            </a:extLst>
          </xdr:cNvPr>
          <xdr:cNvCxnSpPr/>
        </xdr:nvCxnSpPr>
        <xdr:spPr>
          <a:xfrm>
            <a:off x="1038225" y="2552700"/>
            <a:ext cx="847725" cy="142875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6" name="Straight Connector 35">
            <a:extLst>
              <a:ext uri="{FF2B5EF4-FFF2-40B4-BE49-F238E27FC236}">
                <a16:creationId xmlns:a16="http://schemas.microsoft.com/office/drawing/2014/main" id="{00000000-0008-0000-0200-000024000000}"/>
              </a:ext>
            </a:extLst>
          </xdr:cNvPr>
          <xdr:cNvCxnSpPr/>
        </xdr:nvCxnSpPr>
        <xdr:spPr>
          <a:xfrm>
            <a:off x="1047750" y="3152775"/>
            <a:ext cx="847725" cy="142875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7" name="Straight Connector 36">
            <a:extLst>
              <a:ext uri="{FF2B5EF4-FFF2-40B4-BE49-F238E27FC236}">
                <a16:creationId xmlns:a16="http://schemas.microsoft.com/office/drawing/2014/main" id="{00000000-0008-0000-0200-000025000000}"/>
              </a:ext>
            </a:extLst>
          </xdr:cNvPr>
          <xdr:cNvCxnSpPr/>
        </xdr:nvCxnSpPr>
        <xdr:spPr>
          <a:xfrm flipV="1">
            <a:off x="1971675" y="3409950"/>
            <a:ext cx="0" cy="238125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8" name="Straight Connector 37">
            <a:extLst>
              <a:ext uri="{FF2B5EF4-FFF2-40B4-BE49-F238E27FC236}">
                <a16:creationId xmlns:a16="http://schemas.microsoft.com/office/drawing/2014/main" id="{00000000-0008-0000-0200-000026000000}"/>
              </a:ext>
            </a:extLst>
          </xdr:cNvPr>
          <xdr:cNvCxnSpPr/>
        </xdr:nvCxnSpPr>
        <xdr:spPr>
          <a:xfrm flipV="1">
            <a:off x="2800350" y="3600450"/>
            <a:ext cx="0" cy="238125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9" name="TextBox 38">
            <a:extLst>
              <a:ext uri="{FF2B5EF4-FFF2-40B4-BE49-F238E27FC236}">
                <a16:creationId xmlns:a16="http://schemas.microsoft.com/office/drawing/2014/main" id="{00000000-0008-0000-0200-000027000000}"/>
              </a:ext>
            </a:extLst>
          </xdr:cNvPr>
          <xdr:cNvSpPr txBox="1"/>
        </xdr:nvSpPr>
        <xdr:spPr>
          <a:xfrm>
            <a:off x="1809750" y="666750"/>
            <a:ext cx="499945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/>
              <a:t>60cm</a:t>
            </a:r>
          </a:p>
        </xdr:txBody>
      </xdr:sp>
      <xdr:sp macro="" textlink="">
        <xdr:nvSpPr>
          <xdr:cNvPr id="40" name="TextBox 39">
            <a:extLst>
              <a:ext uri="{FF2B5EF4-FFF2-40B4-BE49-F238E27FC236}">
                <a16:creationId xmlns:a16="http://schemas.microsoft.com/office/drawing/2014/main" id="{00000000-0008-0000-0200-000028000000}"/>
              </a:ext>
            </a:extLst>
          </xdr:cNvPr>
          <xdr:cNvSpPr txBox="1"/>
        </xdr:nvSpPr>
        <xdr:spPr>
          <a:xfrm>
            <a:off x="2066925" y="3638550"/>
            <a:ext cx="499945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/>
              <a:t>48cm</a:t>
            </a:r>
          </a:p>
        </xdr:txBody>
      </xdr:sp>
      <xdr:cxnSp macro="">
        <xdr:nvCxnSpPr>
          <xdr:cNvPr id="41" name="Straight Arrow Connector 40">
            <a:extLst>
              <a:ext uri="{FF2B5EF4-FFF2-40B4-BE49-F238E27FC236}">
                <a16:creationId xmlns:a16="http://schemas.microsoft.com/office/drawing/2014/main" id="{00000000-0008-0000-0200-000029000000}"/>
              </a:ext>
            </a:extLst>
          </xdr:cNvPr>
          <xdr:cNvCxnSpPr/>
        </xdr:nvCxnSpPr>
        <xdr:spPr>
          <a:xfrm flipH="1">
            <a:off x="1962150" y="628650"/>
            <a:ext cx="914400" cy="590550"/>
          </a:xfrm>
          <a:prstGeom prst="straightConnector1">
            <a:avLst/>
          </a:prstGeom>
          <a:ln>
            <a:headEnd type="arrow"/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2" name="Straight Arrow Connector 41">
            <a:extLst>
              <a:ext uri="{FF2B5EF4-FFF2-40B4-BE49-F238E27FC236}">
                <a16:creationId xmlns:a16="http://schemas.microsoft.com/office/drawing/2014/main" id="{00000000-0008-0000-0200-00002A000000}"/>
              </a:ext>
            </a:extLst>
          </xdr:cNvPr>
          <xdr:cNvCxnSpPr/>
        </xdr:nvCxnSpPr>
        <xdr:spPr>
          <a:xfrm>
            <a:off x="1828800" y="1304925"/>
            <a:ext cx="0" cy="1323975"/>
          </a:xfrm>
          <a:prstGeom prst="straightConnector1">
            <a:avLst/>
          </a:prstGeom>
          <a:ln>
            <a:headEnd type="arrow"/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3" name="TextBox 42">
            <a:extLst>
              <a:ext uri="{FF2B5EF4-FFF2-40B4-BE49-F238E27FC236}">
                <a16:creationId xmlns:a16="http://schemas.microsoft.com/office/drawing/2014/main" id="{00000000-0008-0000-0200-00002B000000}"/>
              </a:ext>
            </a:extLst>
          </xdr:cNvPr>
          <xdr:cNvSpPr txBox="1"/>
        </xdr:nvSpPr>
        <xdr:spPr>
          <a:xfrm>
            <a:off x="1266825" y="1647825"/>
            <a:ext cx="499945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/>
              <a:t>90cm</a:t>
            </a:r>
          </a:p>
        </xdr:txBody>
      </xdr:sp>
      <xdr:sp macro="" textlink="">
        <xdr:nvSpPr>
          <xdr:cNvPr id="44" name="TextBox 43">
            <a:extLst>
              <a:ext uri="{FF2B5EF4-FFF2-40B4-BE49-F238E27FC236}">
                <a16:creationId xmlns:a16="http://schemas.microsoft.com/office/drawing/2014/main" id="{00000000-0008-0000-0200-00002C000000}"/>
              </a:ext>
            </a:extLst>
          </xdr:cNvPr>
          <xdr:cNvSpPr txBox="1"/>
        </xdr:nvSpPr>
        <xdr:spPr>
          <a:xfrm>
            <a:off x="933450" y="2781300"/>
            <a:ext cx="499945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/>
              <a:t>35cm</a:t>
            </a:r>
          </a:p>
        </xdr:txBody>
      </xdr:sp>
      <xdr:cxnSp macro="">
        <xdr:nvCxnSpPr>
          <xdr:cNvPr id="45" name="Straight Arrow Connector 44">
            <a:extLst>
              <a:ext uri="{FF2B5EF4-FFF2-40B4-BE49-F238E27FC236}">
                <a16:creationId xmlns:a16="http://schemas.microsoft.com/office/drawing/2014/main" id="{00000000-0008-0000-0200-00002D000000}"/>
              </a:ext>
            </a:extLst>
          </xdr:cNvPr>
          <xdr:cNvCxnSpPr/>
        </xdr:nvCxnSpPr>
        <xdr:spPr>
          <a:xfrm>
            <a:off x="1828800" y="2724150"/>
            <a:ext cx="0" cy="561975"/>
          </a:xfrm>
          <a:prstGeom prst="straightConnector1">
            <a:avLst/>
          </a:prstGeom>
          <a:ln>
            <a:headEnd type="arrow"/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48597</xdr:colOff>
      <xdr:row>11</xdr:row>
      <xdr:rowOff>68036</xdr:rowOff>
    </xdr:from>
    <xdr:to>
      <xdr:col>7</xdr:col>
      <xdr:colOff>194389</xdr:colOff>
      <xdr:row>33</xdr:row>
      <xdr:rowOff>87984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597" y="1584260"/>
          <a:ext cx="2935256" cy="3227346"/>
        </a:xfrm>
        <a:prstGeom prst="rect">
          <a:avLst/>
        </a:prstGeom>
      </xdr:spPr>
    </xdr:pic>
    <xdr:clientData/>
  </xdr:twoCellAnchor>
  <xdr:twoCellAnchor>
    <xdr:from>
      <xdr:col>29</xdr:col>
      <xdr:colOff>242985</xdr:colOff>
      <xdr:row>4</xdr:row>
      <xdr:rowOff>29156</xdr:rowOff>
    </xdr:from>
    <xdr:to>
      <xdr:col>32</xdr:col>
      <xdr:colOff>106914</xdr:colOff>
      <xdr:row>8</xdr:row>
      <xdr:rowOff>29157</xdr:rowOff>
    </xdr:to>
    <xdr:sp macro="" textlink="">
      <xdr:nvSpPr>
        <xdr:cNvPr id="3" name="Rectangular Callou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9777704" y="583161"/>
          <a:ext cx="1360715" cy="505409"/>
        </a:xfrm>
        <a:prstGeom prst="wedgeRectCallout">
          <a:avLst>
            <a:gd name="adj1" fmla="val -41317"/>
            <a:gd name="adj2" fmla="val -14048"/>
          </a:avLst>
        </a:prstGeom>
        <a:solidFill>
          <a:srgbClr val="FFFF99"/>
        </a:solidFill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PH" sz="1100">
              <a:solidFill>
                <a:sysClr val="windowText" lastClr="000000"/>
              </a:solidFill>
            </a:rPr>
            <a:t>Need</a:t>
          </a:r>
          <a:r>
            <a:rPr lang="en-PH" sz="1100" baseline="0">
              <a:solidFill>
                <a:sysClr val="windowText" lastClr="000000"/>
              </a:solidFill>
            </a:rPr>
            <a:t> to fill up by requesting section</a:t>
          </a:r>
          <a:endParaRPr lang="en-PH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29</xdr:col>
      <xdr:colOff>230156</xdr:colOff>
      <xdr:row>9</xdr:row>
      <xdr:rowOff>45485</xdr:rowOff>
    </xdr:from>
    <xdr:to>
      <xdr:col>32</xdr:col>
      <xdr:colOff>94085</xdr:colOff>
      <xdr:row>12</xdr:row>
      <xdr:rowOff>94083</xdr:rowOff>
    </xdr:to>
    <xdr:sp macro="" textlink="">
      <xdr:nvSpPr>
        <xdr:cNvPr id="4" name="Rectangular Callou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9764875" y="1250689"/>
          <a:ext cx="1360715" cy="505409"/>
        </a:xfrm>
        <a:prstGeom prst="wedgeRectCallout">
          <a:avLst>
            <a:gd name="adj1" fmla="val -41317"/>
            <a:gd name="adj2" fmla="val -14048"/>
          </a:avLst>
        </a:prstGeom>
        <a:solidFill>
          <a:srgbClr val="CCFF99"/>
        </a:solidFill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PH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To be filled by PE section</a:t>
          </a:r>
          <a:endParaRPr lang="en-PH">
            <a:solidFill>
              <a:sysClr val="windowText" lastClr="000000"/>
            </a:solidFill>
            <a:effectLst/>
          </a:endParaRPr>
        </a:p>
      </xdr:txBody>
    </xdr:sp>
    <xdr:clientData/>
  </xdr:twoCellAnchor>
  <xdr:oneCellAnchor>
    <xdr:from>
      <xdr:col>0</xdr:col>
      <xdr:colOff>48599</xdr:colOff>
      <xdr:row>35</xdr:row>
      <xdr:rowOff>48597</xdr:rowOff>
    </xdr:from>
    <xdr:ext cx="4352217" cy="593304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48599" y="4977785"/>
          <a:ext cx="4352217" cy="59330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3200" b="1" cap="none" spc="0">
              <a:ln w="3175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</a:rPr>
            <a:t>Sample if Section Design</a:t>
          </a:r>
        </a:p>
      </xdr:txBody>
    </xdr:sp>
    <xdr:clientData/>
  </xdr:oneCellAnchor>
  <xdr:twoCellAnchor>
    <xdr:from>
      <xdr:col>8</xdr:col>
      <xdr:colOff>103803</xdr:colOff>
      <xdr:row>12</xdr:row>
      <xdr:rowOff>74643</xdr:rowOff>
    </xdr:from>
    <xdr:to>
      <xdr:col>11</xdr:col>
      <xdr:colOff>269033</xdr:colOff>
      <xdr:row>18</xdr:row>
      <xdr:rowOff>58317</xdr:rowOff>
    </xdr:to>
    <xdr:sp macro="" textlink="">
      <xdr:nvSpPr>
        <xdr:cNvPr id="6" name="Rectangular Callou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3291762" y="1736658"/>
          <a:ext cx="1360715" cy="858419"/>
        </a:xfrm>
        <a:prstGeom prst="wedgeRectCallout">
          <a:avLst>
            <a:gd name="adj1" fmla="val -144175"/>
            <a:gd name="adj2" fmla="val 105970"/>
          </a:avLst>
        </a:prstGeom>
        <a:solidFill>
          <a:srgbClr val="FFFF99"/>
        </a:solidFill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PH" sz="1100">
              <a:solidFill>
                <a:sysClr val="windowText" lastClr="000000"/>
              </a:solidFill>
            </a:rPr>
            <a:t>Need to provide a drawing with complete measurement.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58316</xdr:colOff>
      <xdr:row>38</xdr:row>
      <xdr:rowOff>30806</xdr:rowOff>
    </xdr:from>
    <xdr:to>
      <xdr:col>3</xdr:col>
      <xdr:colOff>145790</xdr:colOff>
      <xdr:row>39</xdr:row>
      <xdr:rowOff>89124</xdr:rowOff>
    </xdr:to>
    <xdr:sp macro="" textlink="">
      <xdr:nvSpPr>
        <xdr:cNvPr id="3" name="Text Box 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>
          <a:spLocks noChangeArrowheads="1"/>
        </xdr:cNvSpPr>
      </xdr:nvSpPr>
      <xdr:spPr bwMode="auto">
        <a:xfrm>
          <a:off x="58316" y="6125192"/>
          <a:ext cx="1298279" cy="203614"/>
        </a:xfrm>
        <a:prstGeom prst="rect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lnSpc>
              <a:spcPts val="1100"/>
            </a:lnSpc>
            <a:defRPr sz="1000"/>
          </a:pPr>
          <a:r>
            <a:rPr lang="en-PH" sz="800" b="0" i="0" u="none" strike="noStrike" baseline="0">
              <a:solidFill>
                <a:srgbClr val="000000"/>
              </a:solidFill>
              <a:latin typeface="Calibri"/>
            </a:rPr>
            <a:t>Select item/s from PE Sample </a:t>
          </a:r>
        </a:p>
      </xdr:txBody>
    </xdr:sp>
    <xdr:clientData/>
  </xdr:twoCellAnchor>
  <xdr:twoCellAnchor>
    <xdr:from>
      <xdr:col>1</xdr:col>
      <xdr:colOff>303854</xdr:colOff>
      <xdr:row>39</xdr:row>
      <xdr:rowOff>89124</xdr:rowOff>
    </xdr:from>
    <xdr:to>
      <xdr:col>1</xdr:col>
      <xdr:colOff>306769</xdr:colOff>
      <xdr:row>42</xdr:row>
      <xdr:rowOff>43653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CxnSpPr>
          <a:stCxn id="3" idx="2"/>
          <a:endCxn id="12" idx="0"/>
        </xdr:cNvCxnSpPr>
      </xdr:nvCxnSpPr>
      <xdr:spPr>
        <a:xfrm>
          <a:off x="707456" y="6328806"/>
          <a:ext cx="2915" cy="390419"/>
        </a:xfrm>
        <a:prstGeom prst="straightConnector1">
          <a:avLst/>
        </a:prstGeom>
        <a:ln w="635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</xdr:col>
      <xdr:colOff>361533</xdr:colOff>
      <xdr:row>41</xdr:row>
      <xdr:rowOff>113270</xdr:rowOff>
    </xdr:from>
    <xdr:ext cx="331886" cy="217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1168357" y="6646299"/>
          <a:ext cx="331886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800"/>
            <a:t>YES</a:t>
          </a:r>
        </a:p>
      </xdr:txBody>
    </xdr:sp>
    <xdr:clientData/>
  </xdr:oneCellAnchor>
  <xdr:twoCellAnchor>
    <xdr:from>
      <xdr:col>3</xdr:col>
      <xdr:colOff>282520</xdr:colOff>
      <xdr:row>42</xdr:row>
      <xdr:rowOff>88169</xdr:rowOff>
    </xdr:from>
    <xdr:to>
      <xdr:col>6</xdr:col>
      <xdr:colOff>368720</xdr:colOff>
      <xdr:row>44</xdr:row>
      <xdr:rowOff>1190</xdr:rowOff>
    </xdr:to>
    <xdr:sp macro="" textlink="">
      <xdr:nvSpPr>
        <xdr:cNvPr id="6" name="Text Box 1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 txBox="1">
          <a:spLocks noChangeArrowheads="1"/>
        </xdr:cNvSpPr>
      </xdr:nvSpPr>
      <xdr:spPr bwMode="auto">
        <a:xfrm>
          <a:off x="1493325" y="6763741"/>
          <a:ext cx="1297005" cy="203614"/>
        </a:xfrm>
        <a:prstGeom prst="rect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ctr" upright="1"/>
        <a:lstStyle/>
        <a:p>
          <a:pPr algn="ctr" rtl="0">
            <a:lnSpc>
              <a:spcPts val="1100"/>
            </a:lnSpc>
            <a:defRPr sz="1000"/>
          </a:pPr>
          <a:r>
            <a:rPr lang="en-PH" sz="800" b="0" i="0" u="none" strike="noStrike" baseline="0">
              <a:solidFill>
                <a:srgbClr val="000000"/>
              </a:solidFill>
              <a:latin typeface="+mn-lt"/>
            </a:rPr>
            <a:t>Fill up the application form</a:t>
          </a:r>
        </a:p>
      </xdr:txBody>
    </xdr:sp>
    <xdr:clientData/>
  </xdr:twoCellAnchor>
  <xdr:twoCellAnchor>
    <xdr:from>
      <xdr:col>3</xdr:col>
      <xdr:colOff>113108</xdr:colOff>
      <xdr:row>43</xdr:row>
      <xdr:rowOff>43653</xdr:rowOff>
    </xdr:from>
    <xdr:to>
      <xdr:col>3</xdr:col>
      <xdr:colOff>282520</xdr:colOff>
      <xdr:row>43</xdr:row>
      <xdr:rowOff>44679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CxnSpPr>
          <a:stCxn id="12" idx="3"/>
          <a:endCxn id="6" idx="1"/>
        </xdr:cNvCxnSpPr>
      </xdr:nvCxnSpPr>
      <xdr:spPr>
        <a:xfrm>
          <a:off x="1323913" y="6864522"/>
          <a:ext cx="169412" cy="1026"/>
        </a:xfrm>
        <a:prstGeom prst="straightConnector1">
          <a:avLst/>
        </a:prstGeom>
        <a:ln w="635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287869</xdr:colOff>
      <xdr:row>44</xdr:row>
      <xdr:rowOff>1190</xdr:rowOff>
    </xdr:from>
    <xdr:to>
      <xdr:col>5</xdr:col>
      <xdr:colOff>123820</xdr:colOff>
      <xdr:row>46</xdr:row>
      <xdr:rowOff>29362</xdr:rowOff>
    </xdr:to>
    <xdr:cxnSp macro="">
      <xdr:nvCxnSpPr>
        <xdr:cNvPr id="8" name="Elbow Connector 12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CxnSpPr>
          <a:stCxn id="11" idx="3"/>
          <a:endCxn id="6" idx="2"/>
        </xdr:cNvCxnSpPr>
      </xdr:nvCxnSpPr>
      <xdr:spPr>
        <a:xfrm flipV="1">
          <a:off x="1095072" y="6967355"/>
          <a:ext cx="1046756" cy="318765"/>
        </a:xfrm>
        <a:prstGeom prst="bentConnector2">
          <a:avLst/>
        </a:prstGeom>
        <a:ln w="635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24224</xdr:colOff>
      <xdr:row>43</xdr:row>
      <xdr:rowOff>133868</xdr:rowOff>
    </xdr:from>
    <xdr:ext cx="318805" cy="217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 txBox="1"/>
      </xdr:nvSpPr>
      <xdr:spPr>
        <a:xfrm>
          <a:off x="427826" y="6954737"/>
          <a:ext cx="318805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800"/>
            <a:t>NO</a:t>
          </a:r>
        </a:p>
      </xdr:txBody>
    </xdr:sp>
    <xdr:clientData/>
  </xdr:oneCellAnchor>
  <xdr:twoCellAnchor>
    <xdr:from>
      <xdr:col>1</xdr:col>
      <xdr:colOff>306769</xdr:colOff>
      <xdr:row>44</xdr:row>
      <xdr:rowOff>43654</xdr:rowOff>
    </xdr:from>
    <xdr:to>
      <xdr:col>1</xdr:col>
      <xdr:colOff>308691</xdr:colOff>
      <xdr:row>45</xdr:row>
      <xdr:rowOff>79388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CxnSpPr>
          <a:cxnSpLocks/>
          <a:stCxn id="12" idx="2"/>
          <a:endCxn id="11" idx="0"/>
        </xdr:cNvCxnSpPr>
      </xdr:nvCxnSpPr>
      <xdr:spPr>
        <a:xfrm>
          <a:off x="710371" y="7009819"/>
          <a:ext cx="1922" cy="181031"/>
        </a:xfrm>
        <a:prstGeom prst="straightConnector1">
          <a:avLst/>
        </a:prstGeom>
        <a:ln w="635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329514</xdr:colOff>
      <xdr:row>45</xdr:row>
      <xdr:rowOff>79388</xdr:rowOff>
    </xdr:from>
    <xdr:to>
      <xdr:col>2</xdr:col>
      <xdr:colOff>287869</xdr:colOff>
      <xdr:row>46</xdr:row>
      <xdr:rowOff>124632</xdr:rowOff>
    </xdr:to>
    <xdr:sp macro="" textlink="">
      <xdr:nvSpPr>
        <xdr:cNvPr id="11" name="Text Box 1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 txBox="1">
          <a:spLocks noChangeArrowheads="1"/>
        </xdr:cNvSpPr>
      </xdr:nvSpPr>
      <xdr:spPr bwMode="auto">
        <a:xfrm>
          <a:off x="329514" y="7190850"/>
          <a:ext cx="765558" cy="190540"/>
        </a:xfrm>
        <a:prstGeom prst="rect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ctr" upright="1"/>
        <a:lstStyle/>
        <a:p>
          <a:pPr algn="ctr" rtl="0">
            <a:lnSpc>
              <a:spcPts val="1100"/>
            </a:lnSpc>
            <a:defRPr sz="1000"/>
          </a:pPr>
          <a:r>
            <a:rPr lang="en-PH" sz="800" b="0" i="0" u="none" strike="noStrike" baseline="0">
              <a:solidFill>
                <a:srgbClr val="000000"/>
              </a:solidFill>
              <a:latin typeface="+mn-lt"/>
            </a:rPr>
            <a:t>Provide drawing </a:t>
          </a:r>
        </a:p>
      </xdr:txBody>
    </xdr:sp>
    <xdr:clientData/>
  </xdr:twoCellAnchor>
  <xdr:twoCellAnchor>
    <xdr:from>
      <xdr:col>0</xdr:col>
      <xdr:colOff>96828</xdr:colOff>
      <xdr:row>42</xdr:row>
      <xdr:rowOff>43653</xdr:rowOff>
    </xdr:from>
    <xdr:to>
      <xdr:col>3</xdr:col>
      <xdr:colOff>113108</xdr:colOff>
      <xdr:row>44</xdr:row>
      <xdr:rowOff>43654</xdr:rowOff>
    </xdr:to>
    <xdr:sp macro="" textlink="">
      <xdr:nvSpPr>
        <xdr:cNvPr id="12" name="Flowchart: Decision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/>
      </xdr:nvSpPr>
      <xdr:spPr>
        <a:xfrm>
          <a:off x="96828" y="6719225"/>
          <a:ext cx="1227085" cy="290594"/>
        </a:xfrm>
        <a:prstGeom prst="flowChartDecision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PH" sz="800">
              <a:solidFill>
                <a:sysClr val="windowText" lastClr="000000"/>
              </a:solidFill>
            </a:rPr>
            <a:t>PE Item?</a:t>
          </a:r>
        </a:p>
      </xdr:txBody>
    </xdr:sp>
    <xdr:clientData/>
  </xdr:twoCellAnchor>
  <xdr:twoCellAnchor>
    <xdr:from>
      <xdr:col>7</xdr:col>
      <xdr:colOff>270919</xdr:colOff>
      <xdr:row>38</xdr:row>
      <xdr:rowOff>110991</xdr:rowOff>
    </xdr:from>
    <xdr:to>
      <xdr:col>10</xdr:col>
      <xdr:colOff>177585</xdr:colOff>
      <xdr:row>40</xdr:row>
      <xdr:rowOff>121079</xdr:rowOff>
    </xdr:to>
    <xdr:sp macro="" textlink="">
      <xdr:nvSpPr>
        <xdr:cNvPr id="14" name="Text Box 2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SpPr txBox="1">
          <a:spLocks noChangeArrowheads="1"/>
        </xdr:cNvSpPr>
      </xdr:nvSpPr>
      <xdr:spPr bwMode="auto">
        <a:xfrm>
          <a:off x="3096131" y="6205377"/>
          <a:ext cx="1117471" cy="300681"/>
        </a:xfrm>
        <a:prstGeom prst="rect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36576" rIns="0" bIns="0" anchor="ctr" upright="1"/>
        <a:lstStyle/>
        <a:p>
          <a:pPr algn="ctr" rtl="0">
            <a:defRPr sz="1000"/>
          </a:pPr>
          <a:r>
            <a:rPr lang="en-PH" sz="800" b="0" i="0" u="none" strike="noStrike" baseline="0">
              <a:solidFill>
                <a:srgbClr val="000000"/>
              </a:solidFill>
              <a:latin typeface="+mn-lt"/>
            </a:rPr>
            <a:t>Submit application form to PE Section</a:t>
          </a:r>
        </a:p>
      </xdr:txBody>
    </xdr:sp>
    <xdr:clientData/>
  </xdr:twoCellAnchor>
  <xdr:twoCellAnchor>
    <xdr:from>
      <xdr:col>6</xdr:col>
      <xdr:colOff>369771</xdr:colOff>
      <xdr:row>39</xdr:row>
      <xdr:rowOff>116036</xdr:rowOff>
    </xdr:from>
    <xdr:to>
      <xdr:col>7</xdr:col>
      <xdr:colOff>270919</xdr:colOff>
      <xdr:row>39</xdr:row>
      <xdr:rowOff>116492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CxnSpPr>
          <a:stCxn id="16" idx="3"/>
          <a:endCxn id="14" idx="1"/>
        </xdr:cNvCxnSpPr>
      </xdr:nvCxnSpPr>
      <xdr:spPr>
        <a:xfrm flipV="1">
          <a:off x="2791381" y="6355718"/>
          <a:ext cx="304750" cy="456"/>
        </a:xfrm>
        <a:prstGeom prst="straightConnector1">
          <a:avLst/>
        </a:prstGeom>
        <a:ln w="635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282296</xdr:colOff>
      <xdr:row>38</xdr:row>
      <xdr:rowOff>15843</xdr:rowOff>
    </xdr:from>
    <xdr:to>
      <xdr:col>6</xdr:col>
      <xdr:colOff>369771</xdr:colOff>
      <xdr:row>41</xdr:row>
      <xdr:rowOff>71843</xdr:rowOff>
    </xdr:to>
    <xdr:sp macro="" textlink="">
      <xdr:nvSpPr>
        <xdr:cNvPr id="16" name="Text Box 1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SpPr txBox="1">
          <a:spLocks noChangeArrowheads="1"/>
        </xdr:cNvSpPr>
      </xdr:nvSpPr>
      <xdr:spPr bwMode="auto">
        <a:xfrm>
          <a:off x="1493101" y="6110229"/>
          <a:ext cx="1298280" cy="491889"/>
        </a:xfrm>
        <a:prstGeom prst="rect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ctr" upright="1"/>
        <a:lstStyle/>
        <a:p>
          <a:pPr algn="ctr" rtl="0">
            <a:lnSpc>
              <a:spcPts val="1100"/>
            </a:lnSpc>
            <a:defRPr sz="1000"/>
          </a:pPr>
          <a:r>
            <a:rPr lang="en-PH" sz="800" b="0" i="0" u="none" strike="noStrike" baseline="0">
              <a:solidFill>
                <a:srgbClr val="000000"/>
              </a:solidFill>
              <a:latin typeface="+mn-lt"/>
            </a:rPr>
            <a:t>Secure approval from section supervisor </a:t>
          </a:r>
        </a:p>
      </xdr:txBody>
    </xdr:sp>
    <xdr:clientData/>
  </xdr:twoCellAnchor>
  <xdr:twoCellAnchor>
    <xdr:from>
      <xdr:col>5</xdr:col>
      <xdr:colOff>123820</xdr:colOff>
      <xdr:row>41</xdr:row>
      <xdr:rowOff>71843</xdr:rowOff>
    </xdr:from>
    <xdr:to>
      <xdr:col>5</xdr:col>
      <xdr:colOff>124233</xdr:colOff>
      <xdr:row>42</xdr:row>
      <xdr:rowOff>88169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CxnSpPr>
          <a:stCxn id="6" idx="0"/>
          <a:endCxn id="16" idx="2"/>
        </xdr:cNvCxnSpPr>
      </xdr:nvCxnSpPr>
      <xdr:spPr>
        <a:xfrm flipV="1">
          <a:off x="2141828" y="6602118"/>
          <a:ext cx="413" cy="161623"/>
        </a:xfrm>
        <a:prstGeom prst="straightConnector1">
          <a:avLst/>
        </a:prstGeom>
        <a:ln w="635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269951</xdr:colOff>
      <xdr:row>41</xdr:row>
      <xdr:rowOff>85807</xdr:rowOff>
    </xdr:from>
    <xdr:to>
      <xdr:col>10</xdr:col>
      <xdr:colOff>176617</xdr:colOff>
      <xdr:row>43</xdr:row>
      <xdr:rowOff>121080</xdr:rowOff>
    </xdr:to>
    <xdr:sp macro="" textlink="">
      <xdr:nvSpPr>
        <xdr:cNvPr id="31" name="Text Box 2"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SpPr txBox="1">
          <a:spLocks noChangeArrowheads="1"/>
        </xdr:cNvSpPr>
      </xdr:nvSpPr>
      <xdr:spPr bwMode="auto">
        <a:xfrm>
          <a:off x="3095163" y="6616082"/>
          <a:ext cx="1117471" cy="325867"/>
        </a:xfrm>
        <a:prstGeom prst="rect">
          <a:avLst/>
        </a:prstGeom>
        <a:solidFill>
          <a:srgbClr val="CCFF99"/>
        </a:solidFill>
        <a:ln w="63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36576" rIns="0" bIns="0" anchor="ctr" upright="1"/>
        <a:lstStyle/>
        <a:p>
          <a:pPr algn="ctr" rtl="0">
            <a:defRPr sz="1000"/>
          </a:pPr>
          <a:r>
            <a:rPr lang="en-PH" sz="800" b="0" i="0" u="none" strike="noStrike" baseline="0">
              <a:solidFill>
                <a:srgbClr val="000000"/>
              </a:solidFill>
              <a:latin typeface="+mn-lt"/>
            </a:rPr>
            <a:t>Confirm target date</a:t>
          </a:r>
        </a:p>
        <a:p>
          <a:pPr algn="ctr" rtl="0">
            <a:defRPr sz="1000"/>
          </a:pPr>
          <a:r>
            <a:rPr lang="en-PH" sz="800" b="0" i="0" u="none" strike="noStrike" baseline="0">
              <a:solidFill>
                <a:srgbClr val="000000"/>
              </a:solidFill>
              <a:latin typeface="+mn-lt"/>
            </a:rPr>
            <a:t>PE PIC &amp; Section PIC</a:t>
          </a:r>
        </a:p>
      </xdr:txBody>
    </xdr:sp>
    <xdr:clientData/>
  </xdr:twoCellAnchor>
  <xdr:twoCellAnchor>
    <xdr:from>
      <xdr:col>9</xdr:col>
      <xdr:colOff>21484</xdr:colOff>
      <xdr:row>40</xdr:row>
      <xdr:rowOff>121079</xdr:rowOff>
    </xdr:from>
    <xdr:to>
      <xdr:col>9</xdr:col>
      <xdr:colOff>22452</xdr:colOff>
      <xdr:row>41</xdr:row>
      <xdr:rowOff>85807</xdr:rowOff>
    </xdr:to>
    <xdr:cxnSp macro="">
      <xdr:nvCxnSpPr>
        <xdr:cNvPr id="32" name="Straight Arrow Connector 31">
          <a:extLst>
            <a:ext uri="{FF2B5EF4-FFF2-40B4-BE49-F238E27FC236}">
              <a16:creationId xmlns:a16="http://schemas.microsoft.com/office/drawing/2014/main" id="{00000000-0008-0000-0300-000020000000}"/>
            </a:ext>
          </a:extLst>
        </xdr:cNvPr>
        <xdr:cNvCxnSpPr>
          <a:stCxn id="14" idx="2"/>
          <a:endCxn id="31" idx="0"/>
        </xdr:cNvCxnSpPr>
      </xdr:nvCxnSpPr>
      <xdr:spPr>
        <a:xfrm flipH="1">
          <a:off x="3653899" y="6506058"/>
          <a:ext cx="968" cy="110024"/>
        </a:xfrm>
        <a:prstGeom prst="straightConnector1">
          <a:avLst/>
        </a:prstGeom>
        <a:ln w="635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268983</xdr:colOff>
      <xdr:row>44</xdr:row>
      <xdr:rowOff>117126</xdr:rowOff>
    </xdr:from>
    <xdr:to>
      <xdr:col>10</xdr:col>
      <xdr:colOff>175649</xdr:colOff>
      <xdr:row>47</xdr:row>
      <xdr:rowOff>7103</xdr:rowOff>
    </xdr:to>
    <xdr:sp macro="" textlink="">
      <xdr:nvSpPr>
        <xdr:cNvPr id="38" name="Text Box 2">
          <a:extLst>
            <a:ext uri="{FF2B5EF4-FFF2-40B4-BE49-F238E27FC236}">
              <a16:creationId xmlns:a16="http://schemas.microsoft.com/office/drawing/2014/main" id="{00000000-0008-0000-0300-000026000000}"/>
            </a:ext>
          </a:extLst>
        </xdr:cNvPr>
        <xdr:cNvSpPr txBox="1">
          <a:spLocks noChangeArrowheads="1"/>
        </xdr:cNvSpPr>
      </xdr:nvSpPr>
      <xdr:spPr bwMode="auto">
        <a:xfrm>
          <a:off x="3094195" y="7083291"/>
          <a:ext cx="1117471" cy="325867"/>
        </a:xfrm>
        <a:prstGeom prst="rect">
          <a:avLst/>
        </a:prstGeom>
        <a:solidFill>
          <a:srgbClr val="CCFF99"/>
        </a:solidFill>
        <a:ln w="63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36576" rIns="0" bIns="0" anchor="ctr" upright="1"/>
        <a:lstStyle/>
        <a:p>
          <a:pPr algn="ctr" rtl="0">
            <a:defRPr sz="1000"/>
          </a:pPr>
          <a:r>
            <a:rPr lang="en-PH" sz="800" b="0" i="0" u="none" strike="noStrike" baseline="0">
              <a:solidFill>
                <a:srgbClr val="000000"/>
              </a:solidFill>
              <a:latin typeface="+mn-lt"/>
            </a:rPr>
            <a:t>Received by PE PIC</a:t>
          </a:r>
        </a:p>
      </xdr:txBody>
    </xdr:sp>
    <xdr:clientData/>
  </xdr:twoCellAnchor>
  <xdr:twoCellAnchor>
    <xdr:from>
      <xdr:col>9</xdr:col>
      <xdr:colOff>20516</xdr:colOff>
      <xdr:row>43</xdr:row>
      <xdr:rowOff>121080</xdr:rowOff>
    </xdr:from>
    <xdr:to>
      <xdr:col>9</xdr:col>
      <xdr:colOff>21484</xdr:colOff>
      <xdr:row>44</xdr:row>
      <xdr:rowOff>117126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00000000-0008-0000-0300-000027000000}"/>
            </a:ext>
          </a:extLst>
        </xdr:cNvPr>
        <xdr:cNvCxnSpPr>
          <a:stCxn id="31" idx="2"/>
          <a:endCxn id="38" idx="0"/>
        </xdr:cNvCxnSpPr>
      </xdr:nvCxnSpPr>
      <xdr:spPr>
        <a:xfrm flipH="1">
          <a:off x="3652931" y="6941949"/>
          <a:ext cx="968" cy="141342"/>
        </a:xfrm>
        <a:prstGeom prst="straightConnector1">
          <a:avLst/>
        </a:prstGeom>
        <a:ln w="635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142875</xdr:colOff>
      <xdr:row>11</xdr:row>
      <xdr:rowOff>11906</xdr:rowOff>
    </xdr:from>
    <xdr:to>
      <xdr:col>2</xdr:col>
      <xdr:colOff>809625</xdr:colOff>
      <xdr:row>12</xdr:row>
      <xdr:rowOff>666</xdr:rowOff>
    </xdr:to>
    <xdr:sp macro="" textlink="">
      <xdr:nvSpPr>
        <xdr:cNvPr id="2" name="Flowchart: Decision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447675" y="2888456"/>
          <a:ext cx="1581150" cy="655510"/>
        </a:xfrm>
        <a:prstGeom prst="flowChartDecision">
          <a:avLst/>
        </a:prstGeom>
        <a:noFill/>
        <a:ln w="158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H" sz="1100" b="1"/>
        </a:p>
      </xdr:txBody>
    </xdr:sp>
    <xdr:clientData/>
  </xdr:twoCellAnchor>
  <xdr:oneCellAnchor>
    <xdr:from>
      <xdr:col>1</xdr:col>
      <xdr:colOff>584357</xdr:colOff>
      <xdr:row>11</xdr:row>
      <xdr:rowOff>178116</xdr:rowOff>
    </xdr:from>
    <xdr:ext cx="777777" cy="415563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889157" y="3054666"/>
          <a:ext cx="777777" cy="4155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1000" b="0"/>
            <a:t>Select item</a:t>
          </a:r>
        </a:p>
        <a:p>
          <a:r>
            <a:rPr lang="ja-JP" altLang="en-US" sz="1000" b="0"/>
            <a:t>項目選択</a:t>
          </a:r>
          <a:endParaRPr lang="en-PH" sz="1000" b="0"/>
        </a:p>
      </xdr:txBody>
    </xdr:sp>
    <xdr:clientData/>
  </xdr:oneCellAnchor>
  <xdr:oneCellAnchor>
    <xdr:from>
      <xdr:col>0</xdr:col>
      <xdr:colOff>282332</xdr:colOff>
      <xdr:row>11</xdr:row>
      <xdr:rowOff>309884</xdr:rowOff>
    </xdr:from>
    <xdr:ext cx="952500" cy="889524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/>
      </xdr:nvSpPr>
      <xdr:spPr>
        <a:xfrm>
          <a:off x="282332" y="3186434"/>
          <a:ext cx="952500" cy="88952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r"/>
          <a:r>
            <a:rPr lang="en-PH" sz="10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PE Sample</a:t>
          </a:r>
        </a:p>
        <a:p>
          <a:pPr algn="r"/>
          <a:r>
            <a:rPr lang="en-US" altLang="ja-JP" sz="10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PE</a:t>
          </a:r>
          <a:r>
            <a:rPr lang="ja-JP" altLang="en-US" sz="10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エリアの</a:t>
          </a:r>
          <a:endParaRPr lang="en-US" altLang="ja-JP" sz="1000" b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r"/>
          <a:r>
            <a:rPr lang="ja-JP" altLang="en-US" sz="10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項目に所属</a:t>
          </a:r>
          <a:endParaRPr lang="en-PH" sz="1000" b="0"/>
        </a:p>
      </xdr:txBody>
    </xdr:sp>
    <xdr:clientData/>
  </xdr:oneCellAnchor>
  <xdr:oneCellAnchor>
    <xdr:from>
      <xdr:col>2</xdr:col>
      <xdr:colOff>757374</xdr:colOff>
      <xdr:row>11</xdr:row>
      <xdr:rowOff>481432</xdr:rowOff>
    </xdr:from>
    <xdr:ext cx="560923" cy="415563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 txBox="1"/>
      </xdr:nvSpPr>
      <xdr:spPr>
        <a:xfrm>
          <a:off x="1976574" y="3357982"/>
          <a:ext cx="560923" cy="4155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l"/>
          <a:r>
            <a:rPr lang="en-PH" sz="1000" b="0"/>
            <a:t>other</a:t>
          </a:r>
        </a:p>
        <a:p>
          <a:pPr algn="l"/>
          <a:r>
            <a:rPr lang="ja-JP" altLang="en-US" sz="1000" b="0"/>
            <a:t>その他</a:t>
          </a:r>
          <a:endParaRPr lang="en-PH" sz="1000" b="0"/>
        </a:p>
      </xdr:txBody>
    </xdr:sp>
    <xdr:clientData/>
  </xdr:oneCellAnchor>
  <xdr:twoCellAnchor>
    <xdr:from>
      <xdr:col>1</xdr:col>
      <xdr:colOff>321468</xdr:colOff>
      <xdr:row>25</xdr:row>
      <xdr:rowOff>219184</xdr:rowOff>
    </xdr:from>
    <xdr:to>
      <xdr:col>2</xdr:col>
      <xdr:colOff>607220</xdr:colOff>
      <xdr:row>26</xdr:row>
      <xdr:rowOff>254902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626268" y="11439634"/>
          <a:ext cx="1200152" cy="731043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PH" sz="1000" b="0">
              <a:solidFill>
                <a:sysClr val="windowText" lastClr="000000"/>
              </a:solidFill>
            </a:rPr>
            <a:t>Turn over of item/s</a:t>
          </a:r>
        </a:p>
        <a:p>
          <a:pPr algn="ctr"/>
          <a:r>
            <a:rPr lang="ja-JP" altLang="en-US" sz="1000" b="0">
              <a:solidFill>
                <a:sysClr val="windowText" lastClr="000000"/>
              </a:solidFill>
            </a:rPr>
            <a:t>アイテムの支給</a:t>
          </a:r>
          <a:endParaRPr lang="en-PH" sz="1000" b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702467</xdr:colOff>
      <xdr:row>17</xdr:row>
      <xdr:rowOff>494621</xdr:rowOff>
    </xdr:from>
    <xdr:to>
      <xdr:col>3</xdr:col>
      <xdr:colOff>116633</xdr:colOff>
      <xdr:row>23</xdr:row>
      <xdr:rowOff>97194</xdr:rowOff>
    </xdr:to>
    <xdr:grpSp>
      <xdr:nvGrpSpPr>
        <xdr:cNvPr id="7" name="Group 43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pSpPr/>
      </xdr:nvGrpSpPr>
      <xdr:grpSpPr>
        <a:xfrm flipH="1" flipV="1">
          <a:off x="1915651" y="8114621"/>
          <a:ext cx="577219" cy="2861126"/>
          <a:chOff x="1416840" y="2179510"/>
          <a:chExt cx="333379" cy="822960"/>
        </a:xfrm>
      </xdr:grpSpPr>
      <xdr:cxnSp macro="">
        <xdr:nvCxnSpPr>
          <xdr:cNvPr id="8" name="Straight Connector 22">
            <a:extLst>
              <a:ext uri="{FF2B5EF4-FFF2-40B4-BE49-F238E27FC236}">
                <a16:creationId xmlns:a16="http://schemas.microsoft.com/office/drawing/2014/main" id="{00000000-0008-0000-0400-000008000000}"/>
              </a:ext>
            </a:extLst>
          </xdr:cNvPr>
          <xdr:cNvCxnSpPr/>
        </xdr:nvCxnSpPr>
        <xdr:spPr>
          <a:xfrm>
            <a:off x="1416840" y="2179510"/>
            <a:ext cx="4" cy="822960"/>
          </a:xfrm>
          <a:prstGeom prst="line">
            <a:avLst/>
          </a:prstGeom>
          <a:ln>
            <a:solidFill>
              <a:schemeClr val="tx1"/>
            </a:solidFill>
            <a:headEnd type="none"/>
            <a:tailEnd type="non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" name="Straight Arrow Connector 24">
            <a:extLst>
              <a:ext uri="{FF2B5EF4-FFF2-40B4-BE49-F238E27FC236}">
                <a16:creationId xmlns:a16="http://schemas.microsoft.com/office/drawing/2014/main" id="{00000000-0008-0000-0400-000009000000}"/>
              </a:ext>
            </a:extLst>
          </xdr:cNvPr>
          <xdr:cNvCxnSpPr/>
        </xdr:nvCxnSpPr>
        <xdr:spPr>
          <a:xfrm>
            <a:off x="1416844" y="3000375"/>
            <a:ext cx="333375" cy="0"/>
          </a:xfrm>
          <a:prstGeom prst="straightConnector1">
            <a:avLst/>
          </a:prstGeom>
          <a:ln>
            <a:solidFill>
              <a:schemeClr val="tx1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809625</xdr:colOff>
      <xdr:row>11</xdr:row>
      <xdr:rowOff>337338</xdr:rowOff>
    </xdr:from>
    <xdr:to>
      <xdr:col>2</xdr:col>
      <xdr:colOff>813110</xdr:colOff>
      <xdr:row>13</xdr:row>
      <xdr:rowOff>118146</xdr:rowOff>
    </xdr:to>
    <xdr:cxnSp macro="">
      <xdr:nvCxnSpPr>
        <xdr:cNvPr id="10" name="Straight Connector 44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CxnSpPr>
          <a:stCxn id="2" idx="3"/>
        </xdr:cNvCxnSpPr>
      </xdr:nvCxnSpPr>
      <xdr:spPr>
        <a:xfrm>
          <a:off x="2028825" y="3213888"/>
          <a:ext cx="3485" cy="542808"/>
        </a:xfrm>
        <a:prstGeom prst="line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285749</xdr:colOff>
      <xdr:row>21</xdr:row>
      <xdr:rowOff>0</xdr:rowOff>
    </xdr:from>
    <xdr:to>
      <xdr:col>2</xdr:col>
      <xdr:colOff>631032</xdr:colOff>
      <xdr:row>21</xdr:row>
      <xdr:rowOff>869156</xdr:rowOff>
    </xdr:to>
    <xdr:sp macro="" textlink="">
      <xdr:nvSpPr>
        <xdr:cNvPr id="11" name="Flowchart: Decision 47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590549" y="9763125"/>
          <a:ext cx="1259683" cy="869156"/>
        </a:xfrm>
        <a:prstGeom prst="flowChartDecision">
          <a:avLst/>
        </a:prstGeom>
        <a:noFill/>
        <a:ln w="158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oneCellAnchor>
    <xdr:from>
      <xdr:col>1</xdr:col>
      <xdr:colOff>400248</xdr:colOff>
      <xdr:row>21</xdr:row>
      <xdr:rowOff>166691</xdr:rowOff>
    </xdr:from>
    <xdr:ext cx="1044837" cy="415563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 txBox="1"/>
      </xdr:nvSpPr>
      <xdr:spPr>
        <a:xfrm>
          <a:off x="705048" y="9929816"/>
          <a:ext cx="1044837" cy="4155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n-PH" sz="1000" b="0"/>
            <a:t>Check item</a:t>
          </a:r>
        </a:p>
        <a:p>
          <a:pPr algn="ctr"/>
          <a:r>
            <a:rPr lang="ja-JP" altLang="en-US" sz="1000" b="0"/>
            <a:t>現物を確認する</a:t>
          </a:r>
          <a:endParaRPr lang="en-PH" sz="1000" b="0"/>
        </a:p>
      </xdr:txBody>
    </xdr:sp>
    <xdr:clientData/>
  </xdr:oneCellAnchor>
  <xdr:oneCellAnchor>
    <xdr:from>
      <xdr:col>1</xdr:col>
      <xdr:colOff>488157</xdr:colOff>
      <xdr:row>21</xdr:row>
      <xdr:rowOff>800100</xdr:rowOff>
    </xdr:from>
    <xdr:ext cx="341568" cy="248851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 txBox="1"/>
      </xdr:nvSpPr>
      <xdr:spPr>
        <a:xfrm>
          <a:off x="792957" y="10563225"/>
          <a:ext cx="341568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1000" b="1"/>
            <a:t>OK</a:t>
          </a:r>
        </a:p>
      </xdr:txBody>
    </xdr:sp>
    <xdr:clientData/>
  </xdr:oneCellAnchor>
  <xdr:oneCellAnchor>
    <xdr:from>
      <xdr:col>2</xdr:col>
      <xdr:colOff>307183</xdr:colOff>
      <xdr:row>21</xdr:row>
      <xdr:rowOff>571500</xdr:rowOff>
    </xdr:from>
    <xdr:ext cx="350802" cy="248851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 txBox="1"/>
      </xdr:nvSpPr>
      <xdr:spPr>
        <a:xfrm>
          <a:off x="1526383" y="10334625"/>
          <a:ext cx="350802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1000" b="1"/>
            <a:t>NG</a:t>
          </a:r>
        </a:p>
      </xdr:txBody>
    </xdr:sp>
    <xdr:clientData/>
  </xdr:oneCellAnchor>
  <xdr:twoCellAnchor>
    <xdr:from>
      <xdr:col>2</xdr:col>
      <xdr:colOff>621312</xdr:colOff>
      <xdr:row>21</xdr:row>
      <xdr:rowOff>413561</xdr:rowOff>
    </xdr:from>
    <xdr:to>
      <xdr:col>2</xdr:col>
      <xdr:colOff>621316</xdr:colOff>
      <xdr:row>22</xdr:row>
      <xdr:rowOff>77737</xdr:rowOff>
    </xdr:to>
    <xdr:cxnSp macro="">
      <xdr:nvCxnSpPr>
        <xdr:cNvPr id="15" name="Straight Connector 52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CxnSpPr/>
      </xdr:nvCxnSpPr>
      <xdr:spPr>
        <a:xfrm>
          <a:off x="1840512" y="10176686"/>
          <a:ext cx="4" cy="550001"/>
        </a:xfrm>
        <a:prstGeom prst="line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11910</xdr:colOff>
      <xdr:row>12</xdr:row>
      <xdr:rowOff>666</xdr:rowOff>
    </xdr:from>
    <xdr:to>
      <xdr:col>2</xdr:col>
      <xdr:colOff>17860</xdr:colOff>
      <xdr:row>14</xdr:row>
      <xdr:rowOff>107157</xdr:rowOff>
    </xdr:to>
    <xdr:cxnSp macro="">
      <xdr:nvCxnSpPr>
        <xdr:cNvPr id="16" name="Straight Connector 54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CxnSpPr>
          <a:stCxn id="2" idx="2"/>
          <a:endCxn id="21" idx="0"/>
        </xdr:cNvCxnSpPr>
      </xdr:nvCxnSpPr>
      <xdr:spPr>
        <a:xfrm flipH="1">
          <a:off x="1231110" y="3543966"/>
          <a:ext cx="5950" cy="1544766"/>
        </a:xfrm>
        <a:prstGeom prst="line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902492</xdr:colOff>
      <xdr:row>17</xdr:row>
      <xdr:rowOff>842961</xdr:rowOff>
    </xdr:from>
    <xdr:to>
      <xdr:col>1</xdr:col>
      <xdr:colOff>902496</xdr:colOff>
      <xdr:row>19</xdr:row>
      <xdr:rowOff>65721</xdr:rowOff>
    </xdr:to>
    <xdr:cxnSp macro="">
      <xdr:nvCxnSpPr>
        <xdr:cNvPr id="17" name="Straight Connector 55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CxnSpPr/>
      </xdr:nvCxnSpPr>
      <xdr:spPr>
        <a:xfrm>
          <a:off x="1207292" y="8453436"/>
          <a:ext cx="4" cy="337185"/>
        </a:xfrm>
        <a:prstGeom prst="line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914404</xdr:colOff>
      <xdr:row>19</xdr:row>
      <xdr:rowOff>576262</xdr:rowOff>
    </xdr:from>
    <xdr:to>
      <xdr:col>2</xdr:col>
      <xdr:colOff>1</xdr:colOff>
      <xdr:row>20</xdr:row>
      <xdr:rowOff>200500</xdr:rowOff>
    </xdr:to>
    <xdr:cxnSp macro="">
      <xdr:nvCxnSpPr>
        <xdr:cNvPr id="18" name="Straight Connector 56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CxnSpPr>
          <a:stCxn id="27" idx="2"/>
        </xdr:cNvCxnSpPr>
      </xdr:nvCxnSpPr>
      <xdr:spPr>
        <a:xfrm flipH="1">
          <a:off x="1219204" y="9301162"/>
          <a:ext cx="0" cy="452913"/>
        </a:xfrm>
        <a:prstGeom prst="line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302012</xdr:colOff>
      <xdr:row>8</xdr:row>
      <xdr:rowOff>95250</xdr:rowOff>
    </xdr:from>
    <xdr:to>
      <xdr:col>2</xdr:col>
      <xdr:colOff>650488</xdr:colOff>
      <xdr:row>9</xdr:row>
      <xdr:rowOff>162622</xdr:rowOff>
    </xdr:to>
    <xdr:sp macro="" textlink="">
      <xdr:nvSpPr>
        <xdr:cNvPr id="19" name="Text Box 1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 txBox="1">
          <a:spLocks noChangeArrowheads="1"/>
        </xdr:cNvSpPr>
      </xdr:nvSpPr>
      <xdr:spPr bwMode="auto">
        <a:xfrm>
          <a:off x="606812" y="2428875"/>
          <a:ext cx="1262876" cy="286447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en-PH" sz="1000" b="0" i="0" u="none" strike="noStrike" baseline="0">
              <a:solidFill>
                <a:srgbClr val="000000"/>
              </a:solidFill>
              <a:latin typeface="Calibri"/>
              <a:cs typeface="Calibri"/>
            </a:rPr>
            <a:t>Start 開始</a:t>
          </a:r>
        </a:p>
      </xdr:txBody>
    </xdr:sp>
    <xdr:clientData/>
  </xdr:twoCellAnchor>
  <xdr:twoCellAnchor>
    <xdr:from>
      <xdr:col>1</xdr:col>
      <xdr:colOff>142878</xdr:colOff>
      <xdr:row>14</xdr:row>
      <xdr:rowOff>107157</xdr:rowOff>
    </xdr:from>
    <xdr:to>
      <xdr:col>2</xdr:col>
      <xdr:colOff>797723</xdr:colOff>
      <xdr:row>15</xdr:row>
      <xdr:rowOff>762000</xdr:rowOff>
    </xdr:to>
    <xdr:sp macro="" textlink="">
      <xdr:nvSpPr>
        <xdr:cNvPr id="21" name="Text Box 3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 txBox="1">
          <a:spLocks noChangeArrowheads="1"/>
        </xdr:cNvSpPr>
      </xdr:nvSpPr>
      <xdr:spPr bwMode="auto">
        <a:xfrm>
          <a:off x="447678" y="5088732"/>
          <a:ext cx="1569245" cy="75961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en-PH" sz="1000" b="0" i="0" u="none" strike="noStrike" baseline="0">
              <a:solidFill>
                <a:srgbClr val="000000"/>
              </a:solidFill>
              <a:latin typeface="Calibri"/>
              <a:cs typeface="Calibri"/>
            </a:rPr>
            <a:t>Fill up "Fabricated item Application Form"関係の内容は「加工アイテム申請書」に記入する</a:t>
          </a:r>
        </a:p>
      </xdr:txBody>
    </xdr:sp>
    <xdr:clientData/>
  </xdr:twoCellAnchor>
  <xdr:twoCellAnchor>
    <xdr:from>
      <xdr:col>2</xdr:col>
      <xdr:colOff>17424</xdr:colOff>
      <xdr:row>9</xdr:row>
      <xdr:rowOff>162622</xdr:rowOff>
    </xdr:from>
    <xdr:to>
      <xdr:col>2</xdr:col>
      <xdr:colOff>17424</xdr:colOff>
      <xdr:row>11</xdr:row>
      <xdr:rowOff>11906</xdr:rowOff>
    </xdr:to>
    <xdr:cxnSp macro="">
      <xdr:nvCxnSpPr>
        <xdr:cNvPr id="22" name="Straight Connector 54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CxnSpPr>
          <a:stCxn id="19" idx="2"/>
          <a:endCxn id="2" idx="0"/>
        </xdr:cNvCxnSpPr>
      </xdr:nvCxnSpPr>
      <xdr:spPr>
        <a:xfrm>
          <a:off x="1236624" y="2715322"/>
          <a:ext cx="0" cy="173134"/>
        </a:xfrm>
        <a:prstGeom prst="line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250032</xdr:colOff>
      <xdr:row>16</xdr:row>
      <xdr:rowOff>369094</xdr:rowOff>
    </xdr:from>
    <xdr:to>
      <xdr:col>2</xdr:col>
      <xdr:colOff>702470</xdr:colOff>
      <xdr:row>16</xdr:row>
      <xdr:rowOff>1083468</xdr:rowOff>
    </xdr:to>
    <xdr:sp macro="" textlink="">
      <xdr:nvSpPr>
        <xdr:cNvPr id="23" name="Text Box 4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 txBox="1">
          <a:spLocks noChangeArrowheads="1"/>
        </xdr:cNvSpPr>
      </xdr:nvSpPr>
      <xdr:spPr bwMode="auto">
        <a:xfrm>
          <a:off x="554832" y="6493669"/>
          <a:ext cx="1366838" cy="71437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en-PH" sz="1000" b="0" i="0" u="none" strike="noStrike" baseline="0">
              <a:solidFill>
                <a:srgbClr val="000000"/>
              </a:solidFill>
              <a:latin typeface="Calibri"/>
              <a:cs typeface="Calibri"/>
            </a:rPr>
            <a:t>Decide target date</a:t>
          </a:r>
        </a:p>
        <a:p>
          <a:pPr algn="ctr" rtl="0">
            <a:defRPr sz="1000"/>
          </a:pPr>
          <a:r>
            <a:rPr lang="en-PH" sz="1000" b="0" i="0" u="none" strike="noStrike" baseline="0">
              <a:solidFill>
                <a:srgbClr val="000000"/>
              </a:solidFill>
              <a:latin typeface="Calibri"/>
              <a:cs typeface="Calibri"/>
            </a:rPr>
            <a:t>目標納期を決定する</a:t>
          </a:r>
        </a:p>
      </xdr:txBody>
    </xdr:sp>
    <xdr:clientData/>
  </xdr:twoCellAnchor>
  <xdr:twoCellAnchor>
    <xdr:from>
      <xdr:col>2</xdr:col>
      <xdr:colOff>14103</xdr:colOff>
      <xdr:row>15</xdr:row>
      <xdr:rowOff>762000</xdr:rowOff>
    </xdr:from>
    <xdr:to>
      <xdr:col>2</xdr:col>
      <xdr:colOff>20054</xdr:colOff>
      <xdr:row>16</xdr:row>
      <xdr:rowOff>369094</xdr:rowOff>
    </xdr:to>
    <xdr:cxnSp macro="">
      <xdr:nvCxnSpPr>
        <xdr:cNvPr id="24" name="Straight Connector 55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CxnSpPr>
          <a:stCxn id="21" idx="2"/>
          <a:endCxn id="23" idx="0"/>
        </xdr:cNvCxnSpPr>
      </xdr:nvCxnSpPr>
      <xdr:spPr>
        <a:xfrm>
          <a:off x="1227287" y="5855368"/>
          <a:ext cx="5951" cy="649831"/>
        </a:xfrm>
        <a:prstGeom prst="line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250031</xdr:colOff>
      <xdr:row>17</xdr:row>
      <xdr:rowOff>130968</xdr:rowOff>
    </xdr:from>
    <xdr:to>
      <xdr:col>2</xdr:col>
      <xdr:colOff>714376</xdr:colOff>
      <xdr:row>17</xdr:row>
      <xdr:rowOff>857250</xdr:rowOff>
    </xdr:to>
    <xdr:sp macro="" textlink="">
      <xdr:nvSpPr>
        <xdr:cNvPr id="25" name="Text Box 5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 txBox="1">
          <a:spLocks noChangeArrowheads="1"/>
        </xdr:cNvSpPr>
      </xdr:nvSpPr>
      <xdr:spPr bwMode="auto">
        <a:xfrm>
          <a:off x="554831" y="7741443"/>
          <a:ext cx="1378745" cy="726282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en-PH" sz="1000" b="0" i="0" u="none" strike="noStrike" baseline="0">
              <a:solidFill>
                <a:srgbClr val="000000"/>
              </a:solidFill>
              <a:latin typeface="Calibri"/>
              <a:cs typeface="Calibri"/>
            </a:rPr>
            <a:t>Start Fabrication</a:t>
          </a:r>
        </a:p>
        <a:p>
          <a:pPr algn="ctr" rtl="0">
            <a:defRPr sz="1000"/>
          </a:pPr>
          <a:r>
            <a:rPr lang="en-PH" sz="1000" b="0" i="0" u="none" strike="noStrike" baseline="0">
              <a:solidFill>
                <a:srgbClr val="000000"/>
              </a:solidFill>
              <a:latin typeface="Calibri"/>
              <a:cs typeface="Calibri"/>
            </a:rPr>
            <a:t>加工開始</a:t>
          </a:r>
        </a:p>
      </xdr:txBody>
    </xdr:sp>
    <xdr:clientData/>
  </xdr:twoCellAnchor>
  <xdr:twoCellAnchor>
    <xdr:from>
      <xdr:col>2</xdr:col>
      <xdr:colOff>17861</xdr:colOff>
      <xdr:row>16</xdr:row>
      <xdr:rowOff>1083468</xdr:rowOff>
    </xdr:from>
    <xdr:to>
      <xdr:col>2</xdr:col>
      <xdr:colOff>23813</xdr:colOff>
      <xdr:row>17</xdr:row>
      <xdr:rowOff>130968</xdr:rowOff>
    </xdr:to>
    <xdr:cxnSp macro="">
      <xdr:nvCxnSpPr>
        <xdr:cNvPr id="26" name="Straight Connector 5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CxnSpPr>
          <a:stCxn id="23" idx="2"/>
          <a:endCxn id="25" idx="0"/>
        </xdr:cNvCxnSpPr>
      </xdr:nvCxnSpPr>
      <xdr:spPr>
        <a:xfrm>
          <a:off x="1237061" y="7208043"/>
          <a:ext cx="5952" cy="533400"/>
        </a:xfrm>
        <a:prstGeom prst="line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261938</xdr:colOff>
      <xdr:row>19</xdr:row>
      <xdr:rowOff>119062</xdr:rowOff>
    </xdr:from>
    <xdr:to>
      <xdr:col>2</xdr:col>
      <xdr:colOff>654844</xdr:colOff>
      <xdr:row>19</xdr:row>
      <xdr:rowOff>576262</xdr:rowOff>
    </xdr:to>
    <xdr:sp macro="" textlink="">
      <xdr:nvSpPr>
        <xdr:cNvPr id="27" name="Text Box 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SpPr txBox="1">
          <a:spLocks noChangeArrowheads="1"/>
        </xdr:cNvSpPr>
      </xdr:nvSpPr>
      <xdr:spPr bwMode="auto">
        <a:xfrm>
          <a:off x="566738" y="8843962"/>
          <a:ext cx="1307306" cy="4572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en-PH" sz="1000" b="0" i="0" u="none" strike="noStrike" baseline="0">
              <a:solidFill>
                <a:srgbClr val="000000"/>
              </a:solidFill>
              <a:latin typeface="Calibri"/>
              <a:cs typeface="Calibri"/>
            </a:rPr>
            <a:t>Completed project</a:t>
          </a:r>
        </a:p>
        <a:p>
          <a:pPr algn="ctr" rtl="0">
            <a:defRPr sz="1000"/>
          </a:pPr>
          <a:r>
            <a:rPr lang="en-PH" sz="1000" b="0" i="0" u="none" strike="noStrike" baseline="0">
              <a:solidFill>
                <a:srgbClr val="000000"/>
              </a:solidFill>
              <a:latin typeface="Calibri"/>
              <a:cs typeface="Calibri"/>
            </a:rPr>
            <a:t>プロジェクト完了</a:t>
          </a:r>
        </a:p>
      </xdr:txBody>
    </xdr:sp>
    <xdr:clientData/>
  </xdr:twoCellAnchor>
  <xdr:twoCellAnchor>
    <xdr:from>
      <xdr:col>2</xdr:col>
      <xdr:colOff>1579</xdr:colOff>
      <xdr:row>21</xdr:row>
      <xdr:rowOff>869156</xdr:rowOff>
    </xdr:from>
    <xdr:to>
      <xdr:col>2</xdr:col>
      <xdr:colOff>7533</xdr:colOff>
      <xdr:row>25</xdr:row>
      <xdr:rowOff>219184</xdr:rowOff>
    </xdr:to>
    <xdr:cxnSp macro="">
      <xdr:nvCxnSpPr>
        <xdr:cNvPr id="28" name="Straight Connector 56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CxnSpPr>
          <a:stCxn id="11" idx="2"/>
          <a:endCxn id="6" idx="0"/>
        </xdr:cNvCxnSpPr>
      </xdr:nvCxnSpPr>
      <xdr:spPr>
        <a:xfrm>
          <a:off x="1220779" y="10632281"/>
          <a:ext cx="5954" cy="807353"/>
        </a:xfrm>
        <a:prstGeom prst="line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319087</xdr:colOff>
      <xdr:row>28</xdr:row>
      <xdr:rowOff>180475</xdr:rowOff>
    </xdr:from>
    <xdr:to>
      <xdr:col>2</xdr:col>
      <xdr:colOff>604839</xdr:colOff>
      <xdr:row>30</xdr:row>
      <xdr:rowOff>15345</xdr:rowOff>
    </xdr:to>
    <xdr:sp macro="" textlink="">
      <xdr:nvSpPr>
        <xdr:cNvPr id="29" name="Rectangle 29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/>
      </xdr:nvSpPr>
      <xdr:spPr>
        <a:xfrm>
          <a:off x="623887" y="12867775"/>
          <a:ext cx="1200152" cy="27302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PH" sz="1050" b="0">
              <a:solidFill>
                <a:sysClr val="windowText" lastClr="000000"/>
              </a:solidFill>
            </a:rPr>
            <a:t>END</a:t>
          </a:r>
        </a:p>
        <a:p>
          <a:pPr algn="ctr"/>
          <a:r>
            <a:rPr lang="ja-JP" altLang="en-US" sz="1050" b="0">
              <a:solidFill>
                <a:sysClr val="windowText" lastClr="000000"/>
              </a:solidFill>
            </a:rPr>
            <a:t>終了</a:t>
          </a:r>
          <a:endParaRPr lang="en-PH" sz="1050" b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5766</xdr:colOff>
      <xdr:row>26</xdr:row>
      <xdr:rowOff>254902</xdr:rowOff>
    </xdr:from>
    <xdr:to>
      <xdr:col>2</xdr:col>
      <xdr:colOff>8147</xdr:colOff>
      <xdr:row>28</xdr:row>
      <xdr:rowOff>180475</xdr:rowOff>
    </xdr:to>
    <xdr:cxnSp macro="">
      <xdr:nvCxnSpPr>
        <xdr:cNvPr id="30" name="Straight Connector 56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CxnSpPr>
          <a:stCxn id="6" idx="2"/>
          <a:endCxn id="29" idx="0"/>
        </xdr:cNvCxnSpPr>
      </xdr:nvCxnSpPr>
      <xdr:spPr>
        <a:xfrm flipH="1">
          <a:off x="1224966" y="12170677"/>
          <a:ext cx="2381" cy="697098"/>
        </a:xfrm>
        <a:prstGeom prst="line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83345</xdr:colOff>
      <xdr:row>22</xdr:row>
      <xdr:rowOff>73483</xdr:rowOff>
    </xdr:from>
    <xdr:to>
      <xdr:col>3</xdr:col>
      <xdr:colOff>11907</xdr:colOff>
      <xdr:row>24</xdr:row>
      <xdr:rowOff>116633</xdr:rowOff>
    </xdr:to>
    <xdr:sp macro="" textlink="">
      <xdr:nvSpPr>
        <xdr:cNvPr id="31" name="Rectangle 51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SpPr/>
      </xdr:nvSpPr>
      <xdr:spPr>
        <a:xfrm>
          <a:off x="1302545" y="10722433"/>
          <a:ext cx="1090612" cy="43367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PH" sz="10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Repair</a:t>
          </a:r>
          <a:r>
            <a:rPr lang="en-PH" sz="10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the item</a:t>
          </a:r>
          <a:endParaRPr lang="en-PH" sz="1000" b="0">
            <a:solidFill>
              <a:sysClr val="windowText" lastClr="000000"/>
            </a:solidFill>
            <a:effectLst/>
          </a:endParaRPr>
        </a:p>
        <a:p>
          <a:r>
            <a:rPr lang="ja-JP" altLang="en-US" sz="10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　　　修正</a:t>
          </a:r>
          <a:endParaRPr lang="en-PH" sz="1000" b="0">
            <a:solidFill>
              <a:sysClr val="windowText" lastClr="000000"/>
            </a:solidFill>
            <a:effectLst/>
          </a:endParaRPr>
        </a:p>
        <a:p>
          <a:pPr algn="l"/>
          <a:endParaRPr lang="en-PH" sz="1000" b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19437</xdr:colOff>
      <xdr:row>23</xdr:row>
      <xdr:rowOff>95264</xdr:rowOff>
    </xdr:from>
    <xdr:to>
      <xdr:col>3</xdr:col>
      <xdr:colOff>110877</xdr:colOff>
      <xdr:row>23</xdr:row>
      <xdr:rowOff>97194</xdr:rowOff>
    </xdr:to>
    <xdr:cxnSp macro="">
      <xdr:nvCxnSpPr>
        <xdr:cNvPr id="32" name="Straight Connector 22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CxnSpPr/>
      </xdr:nvCxnSpPr>
      <xdr:spPr>
        <a:xfrm>
          <a:off x="2400687" y="10963289"/>
          <a:ext cx="91440" cy="1930"/>
        </a:xfrm>
        <a:prstGeom prst="line">
          <a:avLst/>
        </a:prstGeom>
        <a:ln>
          <a:solidFill>
            <a:schemeClr val="tx1"/>
          </a:solidFill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464719</xdr:colOff>
      <xdr:row>13</xdr:row>
      <xdr:rowOff>897809</xdr:rowOff>
    </xdr:from>
    <xdr:to>
      <xdr:col>2</xdr:col>
      <xdr:colOff>468204</xdr:colOff>
      <xdr:row>14</xdr:row>
      <xdr:rowOff>77039</xdr:rowOff>
    </xdr:to>
    <xdr:cxnSp macro="">
      <xdr:nvCxnSpPr>
        <xdr:cNvPr id="33" name="Straight Connector 44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CxnSpPr/>
      </xdr:nvCxnSpPr>
      <xdr:spPr>
        <a:xfrm>
          <a:off x="1677903" y="4537362"/>
          <a:ext cx="3485" cy="552835"/>
        </a:xfrm>
        <a:prstGeom prst="line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107157</xdr:colOff>
      <xdr:row>13</xdr:row>
      <xdr:rowOff>126475</xdr:rowOff>
    </xdr:from>
    <xdr:to>
      <xdr:col>3</xdr:col>
      <xdr:colOff>107157</xdr:colOff>
      <xdr:row>13</xdr:row>
      <xdr:rowOff>1269475</xdr:rowOff>
    </xdr:to>
    <xdr:sp macro="" textlink="">
      <xdr:nvSpPr>
        <xdr:cNvPr id="20" name="Text Box 2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 txBox="1">
          <a:spLocks noChangeArrowheads="1"/>
        </xdr:cNvSpPr>
      </xdr:nvSpPr>
      <xdr:spPr bwMode="auto">
        <a:xfrm>
          <a:off x="1320341" y="3766028"/>
          <a:ext cx="1163053" cy="1143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PH" sz="1000" b="0" i="0" u="none" strike="noStrike" baseline="0">
              <a:solidFill>
                <a:srgbClr val="000000"/>
              </a:solidFill>
              <a:latin typeface="Calibri"/>
              <a:cs typeface="Calibri"/>
            </a:rPr>
            <a:t>Requesting Section shall provide  drawing or sample</a:t>
          </a:r>
        </a:p>
        <a:p>
          <a:pPr algn="l" rtl="0">
            <a:defRPr sz="1000"/>
          </a:pPr>
          <a:r>
            <a:rPr lang="en-PH" sz="1000" b="0" i="0" u="none" strike="noStrike" baseline="0">
              <a:solidFill>
                <a:srgbClr val="000000"/>
              </a:solidFill>
              <a:latin typeface="Calibri"/>
              <a:cs typeface="Calibri"/>
            </a:rPr>
            <a:t>申請課は図面　或いはサンプルを提供する必要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112259</xdr:colOff>
      <xdr:row>92</xdr:row>
      <xdr:rowOff>47625</xdr:rowOff>
    </xdr:from>
    <xdr:to>
      <xdr:col>18</xdr:col>
      <xdr:colOff>416153</xdr:colOff>
      <xdr:row>107</xdr:row>
      <xdr:rowOff>146059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32259" y="20640675"/>
          <a:ext cx="2329544" cy="2955933"/>
        </a:xfrm>
        <a:prstGeom prst="rect">
          <a:avLst/>
        </a:prstGeom>
      </xdr:spPr>
    </xdr:pic>
    <xdr:clientData/>
  </xdr:twoCellAnchor>
  <xdr:twoCellAnchor editAs="oneCell">
    <xdr:from>
      <xdr:col>35</xdr:col>
      <xdr:colOff>3405</xdr:colOff>
      <xdr:row>48</xdr:row>
      <xdr:rowOff>159886</xdr:rowOff>
    </xdr:from>
    <xdr:to>
      <xdr:col>38</xdr:col>
      <xdr:colOff>369082</xdr:colOff>
      <xdr:row>64</xdr:row>
      <xdr:rowOff>23813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177230" y="11647036"/>
          <a:ext cx="2581826" cy="2911927"/>
        </a:xfrm>
        <a:prstGeom prst="rect">
          <a:avLst/>
        </a:prstGeom>
      </xdr:spPr>
    </xdr:pic>
    <xdr:clientData/>
  </xdr:twoCellAnchor>
  <xdr:twoCellAnchor editAs="oneCell">
    <xdr:from>
      <xdr:col>25</xdr:col>
      <xdr:colOff>8697</xdr:colOff>
      <xdr:row>92</xdr:row>
      <xdr:rowOff>161242</xdr:rowOff>
    </xdr:from>
    <xdr:to>
      <xdr:col>29</xdr:col>
      <xdr:colOff>246254</xdr:colOff>
      <xdr:row>107</xdr:row>
      <xdr:rowOff>65993</xdr:rowOff>
    </xdr:to>
    <xdr:pic>
      <xdr:nvPicPr>
        <xdr:cNvPr id="4" name="Picture 3" descr="ESH Racks - Microsoft PowerPoint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786" t="31917" r="26295" b="14832"/>
        <a:stretch/>
      </xdr:blipFill>
      <xdr:spPr>
        <a:xfrm>
          <a:off x="13429422" y="20754292"/>
          <a:ext cx="2739457" cy="2762250"/>
        </a:xfrm>
        <a:prstGeom prst="rect">
          <a:avLst/>
        </a:prstGeom>
      </xdr:spPr>
    </xdr:pic>
    <xdr:clientData/>
  </xdr:twoCellAnchor>
  <xdr:twoCellAnchor editAs="oneCell">
    <xdr:from>
      <xdr:col>25</xdr:col>
      <xdr:colOff>29106</xdr:colOff>
      <xdr:row>50</xdr:row>
      <xdr:rowOff>82994</xdr:rowOff>
    </xdr:from>
    <xdr:to>
      <xdr:col>29</xdr:col>
      <xdr:colOff>397632</xdr:colOff>
      <xdr:row>62</xdr:row>
      <xdr:rowOff>55143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449831" y="11951144"/>
          <a:ext cx="2870426" cy="2258149"/>
        </a:xfrm>
        <a:prstGeom prst="rect">
          <a:avLst/>
        </a:prstGeom>
      </xdr:spPr>
    </xdr:pic>
    <xdr:clientData/>
  </xdr:twoCellAnchor>
  <xdr:twoCellAnchor editAs="oneCell">
    <xdr:from>
      <xdr:col>14</xdr:col>
      <xdr:colOff>212803</xdr:colOff>
      <xdr:row>49</xdr:row>
      <xdr:rowOff>154106</xdr:rowOff>
    </xdr:from>
    <xdr:to>
      <xdr:col>18</xdr:col>
      <xdr:colOff>216205</xdr:colOff>
      <xdr:row>61</xdr:row>
      <xdr:rowOff>118717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223203" y="11831756"/>
          <a:ext cx="2908526" cy="2250611"/>
        </a:xfrm>
        <a:prstGeom prst="rect">
          <a:avLst/>
        </a:prstGeom>
      </xdr:spPr>
    </xdr:pic>
    <xdr:clientData/>
  </xdr:twoCellAnchor>
  <xdr:twoCellAnchor editAs="oneCell">
    <xdr:from>
      <xdr:col>4</xdr:col>
      <xdr:colOff>517071</xdr:colOff>
      <xdr:row>6</xdr:row>
      <xdr:rowOff>90141</xdr:rowOff>
    </xdr:from>
    <xdr:to>
      <xdr:col>8</xdr:col>
      <xdr:colOff>418379</xdr:colOff>
      <xdr:row>21</xdr:row>
      <xdr:rowOff>72169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79121" y="2680941"/>
          <a:ext cx="2642161" cy="2839528"/>
        </a:xfrm>
        <a:prstGeom prst="rect">
          <a:avLst/>
        </a:prstGeom>
      </xdr:spPr>
    </xdr:pic>
    <xdr:clientData/>
  </xdr:twoCellAnchor>
  <xdr:twoCellAnchor editAs="oneCell">
    <xdr:from>
      <xdr:col>14</xdr:col>
      <xdr:colOff>674365</xdr:colOff>
      <xdr:row>5</xdr:row>
      <xdr:rowOff>258535</xdr:rowOff>
    </xdr:from>
    <xdr:to>
      <xdr:col>18</xdr:col>
      <xdr:colOff>445784</xdr:colOff>
      <xdr:row>21</xdr:row>
      <xdr:rowOff>93315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008740" y="1401535"/>
          <a:ext cx="2644794" cy="2962155"/>
        </a:xfrm>
        <a:prstGeom prst="rect">
          <a:avLst/>
        </a:prstGeom>
      </xdr:spPr>
    </xdr:pic>
    <xdr:clientData/>
  </xdr:twoCellAnchor>
  <xdr:twoCellAnchor editAs="oneCell">
    <xdr:from>
      <xdr:col>24</xdr:col>
      <xdr:colOff>416750</xdr:colOff>
      <xdr:row>6</xdr:row>
      <xdr:rowOff>102952</xdr:rowOff>
    </xdr:from>
    <xdr:to>
      <xdr:col>28</xdr:col>
      <xdr:colOff>583127</xdr:colOff>
      <xdr:row>21</xdr:row>
      <xdr:rowOff>40051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3227875" y="2693752"/>
          <a:ext cx="2769876" cy="2794599"/>
        </a:xfrm>
        <a:prstGeom prst="rect">
          <a:avLst/>
        </a:prstGeom>
      </xdr:spPr>
    </xdr:pic>
    <xdr:clientData/>
  </xdr:twoCellAnchor>
  <xdr:twoCellAnchor>
    <xdr:from>
      <xdr:col>9</xdr:col>
      <xdr:colOff>269875</xdr:colOff>
      <xdr:row>18</xdr:row>
      <xdr:rowOff>0</xdr:rowOff>
    </xdr:from>
    <xdr:to>
      <xdr:col>11</xdr:col>
      <xdr:colOff>460375</xdr:colOff>
      <xdr:row>21</xdr:row>
      <xdr:rowOff>88900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SpPr/>
      </xdr:nvSpPr>
      <xdr:spPr>
        <a:xfrm>
          <a:off x="5556250" y="3698875"/>
          <a:ext cx="1397000" cy="6604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PH" sz="3200"/>
            <a:t>PRICE</a:t>
          </a:r>
        </a:p>
      </xdr:txBody>
    </xdr:sp>
    <xdr:clientData/>
  </xdr:twoCellAnchor>
  <xdr:twoCellAnchor>
    <xdr:from>
      <xdr:col>19</xdr:col>
      <xdr:colOff>263525</xdr:colOff>
      <xdr:row>18</xdr:row>
      <xdr:rowOff>25400</xdr:rowOff>
    </xdr:from>
    <xdr:to>
      <xdr:col>21</xdr:col>
      <xdr:colOff>454025</xdr:colOff>
      <xdr:row>21</xdr:row>
      <xdr:rowOff>114300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SpPr/>
      </xdr:nvSpPr>
      <xdr:spPr>
        <a:xfrm>
          <a:off x="12074525" y="3724275"/>
          <a:ext cx="1397000" cy="6604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PH" sz="3200"/>
            <a:t>PRICE</a:t>
          </a:r>
        </a:p>
      </xdr:txBody>
    </xdr:sp>
    <xdr:clientData/>
  </xdr:twoCellAnchor>
  <xdr:twoCellAnchor>
    <xdr:from>
      <xdr:col>29</xdr:col>
      <xdr:colOff>336550</xdr:colOff>
      <xdr:row>18</xdr:row>
      <xdr:rowOff>34925</xdr:rowOff>
    </xdr:from>
    <xdr:to>
      <xdr:col>31</xdr:col>
      <xdr:colOff>527050</xdr:colOff>
      <xdr:row>21</xdr:row>
      <xdr:rowOff>123825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SpPr/>
      </xdr:nvSpPr>
      <xdr:spPr>
        <a:xfrm>
          <a:off x="18370550" y="3733800"/>
          <a:ext cx="1397000" cy="6604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PH" sz="3200"/>
            <a:t>PRICE</a:t>
          </a:r>
        </a:p>
      </xdr:txBody>
    </xdr:sp>
    <xdr:clientData/>
  </xdr:twoCellAnchor>
  <xdr:twoCellAnchor>
    <xdr:from>
      <xdr:col>39</xdr:col>
      <xdr:colOff>392112</xdr:colOff>
      <xdr:row>17</xdr:row>
      <xdr:rowOff>138112</xdr:rowOff>
    </xdr:from>
    <xdr:to>
      <xdr:col>41</xdr:col>
      <xdr:colOff>582612</xdr:colOff>
      <xdr:row>21</xdr:row>
      <xdr:rowOff>36512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SpPr/>
      </xdr:nvSpPr>
      <xdr:spPr>
        <a:xfrm>
          <a:off x="24895175" y="3638550"/>
          <a:ext cx="1428750" cy="6604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PH" sz="3200"/>
            <a:t>PRICE</a:t>
          </a:r>
        </a:p>
      </xdr:txBody>
    </xdr:sp>
    <xdr:clientData/>
  </xdr:twoCellAnchor>
  <xdr:twoCellAnchor>
    <xdr:from>
      <xdr:col>9</xdr:col>
      <xdr:colOff>198437</xdr:colOff>
      <xdr:row>60</xdr:row>
      <xdr:rowOff>95250</xdr:rowOff>
    </xdr:from>
    <xdr:to>
      <xdr:col>11</xdr:col>
      <xdr:colOff>388937</xdr:colOff>
      <xdr:row>63</xdr:row>
      <xdr:rowOff>184150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SpPr/>
      </xdr:nvSpPr>
      <xdr:spPr>
        <a:xfrm>
          <a:off x="5603875" y="12144375"/>
          <a:ext cx="1428750" cy="6604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PH" sz="3200"/>
            <a:t>PRICE</a:t>
          </a:r>
        </a:p>
      </xdr:txBody>
    </xdr:sp>
    <xdr:clientData/>
  </xdr:twoCellAnchor>
  <xdr:twoCellAnchor>
    <xdr:from>
      <xdr:col>19</xdr:col>
      <xdr:colOff>192087</xdr:colOff>
      <xdr:row>60</xdr:row>
      <xdr:rowOff>120650</xdr:rowOff>
    </xdr:from>
    <xdr:to>
      <xdr:col>21</xdr:col>
      <xdr:colOff>382587</xdr:colOff>
      <xdr:row>64</xdr:row>
      <xdr:rowOff>19050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SpPr/>
      </xdr:nvSpPr>
      <xdr:spPr>
        <a:xfrm>
          <a:off x="12193587" y="12169775"/>
          <a:ext cx="1428750" cy="6604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PH" sz="3200"/>
            <a:t>PRICE</a:t>
          </a:r>
        </a:p>
      </xdr:txBody>
    </xdr:sp>
    <xdr:clientData/>
  </xdr:twoCellAnchor>
  <xdr:twoCellAnchor>
    <xdr:from>
      <xdr:col>29</xdr:col>
      <xdr:colOff>265112</xdr:colOff>
      <xdr:row>60</xdr:row>
      <xdr:rowOff>130175</xdr:rowOff>
    </xdr:from>
    <xdr:to>
      <xdr:col>31</xdr:col>
      <xdr:colOff>455612</xdr:colOff>
      <xdr:row>64</xdr:row>
      <xdr:rowOff>28575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SpPr/>
      </xdr:nvSpPr>
      <xdr:spPr>
        <a:xfrm>
          <a:off x="18553112" y="12179300"/>
          <a:ext cx="1428750" cy="6604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PH" sz="3200"/>
            <a:t>PRICE</a:t>
          </a:r>
        </a:p>
      </xdr:txBody>
    </xdr:sp>
    <xdr:clientData/>
  </xdr:twoCellAnchor>
  <xdr:twoCellAnchor>
    <xdr:from>
      <xdr:col>39</xdr:col>
      <xdr:colOff>320674</xdr:colOff>
      <xdr:row>60</xdr:row>
      <xdr:rowOff>42862</xdr:rowOff>
    </xdr:from>
    <xdr:to>
      <xdr:col>41</xdr:col>
      <xdr:colOff>511174</xdr:colOff>
      <xdr:row>63</xdr:row>
      <xdr:rowOff>131762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SpPr/>
      </xdr:nvSpPr>
      <xdr:spPr>
        <a:xfrm>
          <a:off x="24823737" y="12091987"/>
          <a:ext cx="1428750" cy="6604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PH" sz="3200"/>
            <a:t>PRICE</a:t>
          </a:r>
        </a:p>
      </xdr:txBody>
    </xdr:sp>
    <xdr:clientData/>
  </xdr:twoCellAnchor>
  <xdr:twoCellAnchor>
    <xdr:from>
      <xdr:col>9</xdr:col>
      <xdr:colOff>255592</xdr:colOff>
      <xdr:row>104</xdr:row>
      <xdr:rowOff>128588</xdr:rowOff>
    </xdr:from>
    <xdr:to>
      <xdr:col>11</xdr:col>
      <xdr:colOff>446092</xdr:colOff>
      <xdr:row>108</xdr:row>
      <xdr:rowOff>26988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600-000015000000}"/>
            </a:ext>
          </a:extLst>
        </xdr:cNvPr>
        <xdr:cNvSpPr/>
      </xdr:nvSpPr>
      <xdr:spPr>
        <a:xfrm>
          <a:off x="5661030" y="20845463"/>
          <a:ext cx="1428750" cy="6604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PH" sz="3200"/>
            <a:t>PRICE</a:t>
          </a:r>
        </a:p>
      </xdr:txBody>
    </xdr:sp>
    <xdr:clientData/>
  </xdr:twoCellAnchor>
  <xdr:twoCellAnchor>
    <xdr:from>
      <xdr:col>19</xdr:col>
      <xdr:colOff>249242</xdr:colOff>
      <xdr:row>104</xdr:row>
      <xdr:rowOff>153988</xdr:rowOff>
    </xdr:from>
    <xdr:to>
      <xdr:col>21</xdr:col>
      <xdr:colOff>439742</xdr:colOff>
      <xdr:row>108</xdr:row>
      <xdr:rowOff>52388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600-000016000000}"/>
            </a:ext>
          </a:extLst>
        </xdr:cNvPr>
        <xdr:cNvSpPr/>
      </xdr:nvSpPr>
      <xdr:spPr>
        <a:xfrm>
          <a:off x="12250742" y="20870863"/>
          <a:ext cx="1428750" cy="6604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PH" sz="3200"/>
            <a:t>PRICE</a:t>
          </a:r>
        </a:p>
      </xdr:txBody>
    </xdr:sp>
    <xdr:clientData/>
  </xdr:twoCellAnchor>
  <xdr:twoCellAnchor>
    <xdr:from>
      <xdr:col>29</xdr:col>
      <xdr:colOff>322267</xdr:colOff>
      <xdr:row>104</xdr:row>
      <xdr:rowOff>163513</xdr:rowOff>
    </xdr:from>
    <xdr:to>
      <xdr:col>31</xdr:col>
      <xdr:colOff>512767</xdr:colOff>
      <xdr:row>108</xdr:row>
      <xdr:rowOff>61913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600-000017000000}"/>
            </a:ext>
          </a:extLst>
        </xdr:cNvPr>
        <xdr:cNvSpPr/>
      </xdr:nvSpPr>
      <xdr:spPr>
        <a:xfrm>
          <a:off x="18610267" y="20880388"/>
          <a:ext cx="1428750" cy="6604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PH" sz="3200"/>
            <a:t>PRICE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  <pageSetUpPr fitToPage="1"/>
  </sheetPr>
  <dimension ref="A1:AH124"/>
  <sheetViews>
    <sheetView showGridLines="0" tabSelected="1" view="pageBreakPreview" zoomScale="115" zoomScaleNormal="100" zoomScaleSheetLayoutView="115" workbookViewId="0">
      <selection activeCell="AF106" sqref="AF106"/>
    </sheetView>
  </sheetViews>
  <sheetFormatPr defaultRowHeight="15.75" x14ac:dyDescent="0.25"/>
  <cols>
    <col min="1" max="1" width="0.140625" style="100" customWidth="1"/>
    <col min="2" max="2" width="5.85546875" style="100" customWidth="1"/>
    <col min="3" max="4" width="5.42578125" style="100" customWidth="1"/>
    <col min="5" max="6" width="3.7109375" style="100" customWidth="1"/>
    <col min="7" max="7" width="2.85546875" style="100" customWidth="1"/>
    <col min="8" max="9" width="3.7109375" style="100" customWidth="1"/>
    <col min="10" max="10" width="2" style="100" customWidth="1"/>
    <col min="11" max="11" width="4.42578125" style="100" customWidth="1"/>
    <col min="12" max="12" width="3.28515625" style="100" customWidth="1"/>
    <col min="13" max="13" width="4.42578125" style="100" customWidth="1"/>
    <col min="14" max="14" width="4.85546875" style="100" customWidth="1"/>
    <col min="15" max="15" width="5.5703125" style="100" customWidth="1"/>
    <col min="16" max="16" width="5.28515625" style="100" customWidth="1"/>
    <col min="17" max="18" width="4.28515625" style="100" customWidth="1"/>
    <col min="19" max="19" width="3.28515625" style="100" customWidth="1"/>
    <col min="20" max="20" width="5.28515625" style="100" customWidth="1"/>
    <col min="21" max="24" width="3.7109375" style="100" customWidth="1"/>
    <col min="25" max="25" width="3.28515625" style="100" customWidth="1"/>
    <col min="26" max="26" width="4.5703125" style="100" customWidth="1"/>
    <col min="27" max="27" width="3.28515625" style="100" customWidth="1"/>
    <col min="28" max="28" width="3.85546875" style="100" customWidth="1"/>
    <col min="29" max="29" width="5.7109375" style="100" customWidth="1"/>
    <col min="30" max="30" width="0.42578125" style="100" customWidth="1"/>
    <col min="31" max="37" width="10.5703125" style="100" customWidth="1"/>
    <col min="38" max="16384" width="9.140625" style="100"/>
  </cols>
  <sheetData>
    <row r="1" spans="1:34" ht="11.25" customHeight="1" x14ac:dyDescent="0.25">
      <c r="A1" s="104"/>
      <c r="B1" s="422" t="s">
        <v>233</v>
      </c>
      <c r="C1" s="422"/>
      <c r="D1" s="422"/>
      <c r="E1" s="422"/>
      <c r="F1" s="422"/>
      <c r="G1" s="422"/>
      <c r="H1" s="422"/>
      <c r="I1" s="422"/>
      <c r="J1" s="422"/>
      <c r="K1" s="422"/>
      <c r="L1" s="422"/>
      <c r="M1" s="422"/>
      <c r="N1" s="422"/>
      <c r="O1" s="422"/>
      <c r="P1" s="422"/>
      <c r="Q1" s="422"/>
      <c r="R1" s="422"/>
      <c r="S1" s="422"/>
      <c r="T1" s="422"/>
      <c r="U1" s="422"/>
      <c r="V1" s="422"/>
      <c r="W1" s="422"/>
      <c r="X1" s="422"/>
      <c r="Y1" s="422"/>
      <c r="Z1" s="422"/>
      <c r="AA1" s="422"/>
      <c r="AB1" s="422"/>
      <c r="AC1" s="422"/>
      <c r="AD1" s="423"/>
    </row>
    <row r="2" spans="1:34" ht="11.25" customHeight="1" x14ac:dyDescent="0.25">
      <c r="A2" s="123"/>
      <c r="B2" s="424"/>
      <c r="C2" s="424"/>
      <c r="D2" s="424"/>
      <c r="E2" s="424"/>
      <c r="F2" s="424"/>
      <c r="G2" s="424"/>
      <c r="H2" s="424"/>
      <c r="I2" s="424"/>
      <c r="J2" s="424"/>
      <c r="K2" s="424"/>
      <c r="L2" s="424"/>
      <c r="M2" s="424"/>
      <c r="N2" s="424"/>
      <c r="O2" s="424"/>
      <c r="P2" s="424"/>
      <c r="Q2" s="424"/>
      <c r="R2" s="424"/>
      <c r="S2" s="424"/>
      <c r="T2" s="424"/>
      <c r="U2" s="424"/>
      <c r="V2" s="424"/>
      <c r="W2" s="424"/>
      <c r="X2" s="424"/>
      <c r="Y2" s="424"/>
      <c r="Z2" s="424"/>
      <c r="AA2" s="424"/>
      <c r="AB2" s="424"/>
      <c r="AC2" s="424"/>
      <c r="AD2" s="425"/>
    </row>
    <row r="3" spans="1:34" ht="11.25" customHeight="1" x14ac:dyDescent="0.25">
      <c r="A3" s="123"/>
      <c r="B3" s="424"/>
      <c r="C3" s="424"/>
      <c r="D3" s="424"/>
      <c r="E3" s="424"/>
      <c r="F3" s="424"/>
      <c r="G3" s="424"/>
      <c r="H3" s="424"/>
      <c r="I3" s="424"/>
      <c r="J3" s="424"/>
      <c r="K3" s="424"/>
      <c r="L3" s="424"/>
      <c r="M3" s="424"/>
      <c r="N3" s="424"/>
      <c r="O3" s="424"/>
      <c r="P3" s="424"/>
      <c r="Q3" s="424"/>
      <c r="R3" s="424"/>
      <c r="S3" s="424"/>
      <c r="T3" s="424"/>
      <c r="U3" s="424"/>
      <c r="V3" s="424"/>
      <c r="W3" s="424"/>
      <c r="X3" s="424"/>
      <c r="Y3" s="424"/>
      <c r="Z3" s="424"/>
      <c r="AA3" s="424"/>
      <c r="AB3" s="424"/>
      <c r="AC3" s="424"/>
      <c r="AD3" s="425"/>
    </row>
    <row r="4" spans="1:34" ht="11.25" customHeight="1" thickBot="1" x14ac:dyDescent="0.3">
      <c r="A4" s="137"/>
      <c r="B4" s="426"/>
      <c r="C4" s="426"/>
      <c r="D4" s="426"/>
      <c r="E4" s="426"/>
      <c r="F4" s="426"/>
      <c r="G4" s="426"/>
      <c r="H4" s="426"/>
      <c r="I4" s="426"/>
      <c r="J4" s="426"/>
      <c r="K4" s="426"/>
      <c r="L4" s="426"/>
      <c r="M4" s="426"/>
      <c r="N4" s="426"/>
      <c r="O4" s="426"/>
      <c r="P4" s="426"/>
      <c r="Q4" s="426"/>
      <c r="R4" s="426"/>
      <c r="S4" s="426"/>
      <c r="T4" s="426"/>
      <c r="U4" s="426"/>
      <c r="V4" s="426"/>
      <c r="W4" s="426"/>
      <c r="X4" s="426"/>
      <c r="Y4" s="426"/>
      <c r="Z4" s="426"/>
      <c r="AA4" s="426"/>
      <c r="AB4" s="426"/>
      <c r="AC4" s="426"/>
      <c r="AD4" s="427"/>
    </row>
    <row r="5" spans="1:34" ht="21.75" customHeight="1" thickBot="1" x14ac:dyDescent="0.3">
      <c r="A5" s="463" t="s">
        <v>240</v>
      </c>
      <c r="B5" s="463"/>
      <c r="C5" s="463"/>
      <c r="D5" s="463"/>
      <c r="E5" s="463"/>
      <c r="F5" s="463"/>
      <c r="G5" s="463"/>
      <c r="H5" s="463"/>
      <c r="I5" s="463"/>
      <c r="J5" s="463"/>
      <c r="K5" s="463"/>
      <c r="L5" s="463"/>
      <c r="M5" s="463"/>
      <c r="N5" s="463"/>
      <c r="O5" s="463"/>
      <c r="P5" s="463"/>
      <c r="Q5" s="463"/>
      <c r="R5" s="463"/>
      <c r="S5" s="463"/>
      <c r="T5" s="463"/>
      <c r="U5" s="463"/>
      <c r="V5" s="463"/>
      <c r="W5" s="463"/>
      <c r="X5" s="463"/>
      <c r="Y5" s="463"/>
      <c r="Z5" s="463"/>
      <c r="AA5" s="463"/>
      <c r="AB5" s="463"/>
      <c r="AC5" s="463"/>
      <c r="AD5" s="463"/>
      <c r="AE5" s="102"/>
    </row>
    <row r="6" spans="1:34" ht="9" customHeight="1" x14ac:dyDescent="0.25">
      <c r="A6" s="104"/>
      <c r="B6" s="105"/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5"/>
      <c r="S6" s="105"/>
      <c r="T6" s="105"/>
      <c r="U6" s="105"/>
      <c r="V6" s="105"/>
      <c r="W6" s="105"/>
      <c r="X6" s="105"/>
      <c r="Y6" s="105"/>
      <c r="Z6" s="105"/>
      <c r="AA6" s="105"/>
      <c r="AB6" s="105"/>
      <c r="AC6" s="105"/>
      <c r="AD6" s="106"/>
    </row>
    <row r="7" spans="1:34" s="110" customFormat="1" ht="15.95" customHeight="1" x14ac:dyDescent="0.25">
      <c r="A7" s="107"/>
      <c r="B7" s="443" t="s">
        <v>212</v>
      </c>
      <c r="C7" s="443"/>
      <c r="D7" s="443"/>
      <c r="E7" s="443"/>
      <c r="F7" s="443"/>
      <c r="G7" s="443"/>
      <c r="H7" s="443"/>
      <c r="I7" s="443"/>
      <c r="J7" s="443"/>
      <c r="K7" s="443"/>
      <c r="L7" s="443"/>
      <c r="M7" s="443"/>
      <c r="N7" s="443"/>
      <c r="O7" s="443"/>
      <c r="P7" s="443"/>
      <c r="Q7" s="443"/>
      <c r="R7" s="443"/>
      <c r="S7" s="443"/>
      <c r="T7" s="443"/>
      <c r="U7" s="443"/>
      <c r="V7" s="443"/>
      <c r="W7" s="443"/>
      <c r="X7" s="443"/>
      <c r="Y7" s="443"/>
      <c r="Z7" s="443"/>
      <c r="AA7" s="443"/>
      <c r="AB7" s="443"/>
      <c r="AC7" s="443"/>
      <c r="AD7" s="108"/>
      <c r="AE7" s="109"/>
    </row>
    <row r="8" spans="1:34" s="114" customFormat="1" ht="15" x14ac:dyDescent="0.25">
      <c r="A8" s="111"/>
      <c r="B8" s="444" t="s">
        <v>213</v>
      </c>
      <c r="C8" s="445"/>
      <c r="D8" s="445"/>
      <c r="E8" s="445"/>
      <c r="F8" s="446"/>
      <c r="G8" s="447"/>
      <c r="H8" s="448"/>
      <c r="I8" s="448"/>
      <c r="J8" s="448"/>
      <c r="K8" s="448"/>
      <c r="L8" s="449"/>
      <c r="M8" s="450" t="s">
        <v>214</v>
      </c>
      <c r="N8" s="451"/>
      <c r="O8" s="451"/>
      <c r="P8" s="451"/>
      <c r="Q8" s="451"/>
      <c r="R8" s="452"/>
      <c r="S8" s="453"/>
      <c r="T8" s="454"/>
      <c r="U8" s="454"/>
      <c r="V8" s="454"/>
      <c r="W8" s="454"/>
      <c r="X8" s="454"/>
      <c r="Y8" s="454"/>
      <c r="Z8" s="454"/>
      <c r="AA8" s="454"/>
      <c r="AB8" s="454"/>
      <c r="AC8" s="455"/>
      <c r="AD8" s="112"/>
      <c r="AE8" s="113"/>
    </row>
    <row r="9" spans="1:34" s="114" customFormat="1" ht="15" x14ac:dyDescent="0.25">
      <c r="A9" s="111"/>
      <c r="B9" s="450" t="s">
        <v>215</v>
      </c>
      <c r="C9" s="451"/>
      <c r="D9" s="451"/>
      <c r="E9" s="451"/>
      <c r="F9" s="452"/>
      <c r="G9" s="456"/>
      <c r="H9" s="448"/>
      <c r="I9" s="448"/>
      <c r="J9" s="448"/>
      <c r="K9" s="448"/>
      <c r="L9" s="449"/>
      <c r="M9" s="457" t="s">
        <v>241</v>
      </c>
      <c r="N9" s="458"/>
      <c r="O9" s="458"/>
      <c r="P9" s="458"/>
      <c r="Q9" s="458"/>
      <c r="R9" s="459"/>
      <c r="S9" s="460"/>
      <c r="T9" s="461"/>
      <c r="U9" s="461"/>
      <c r="V9" s="461"/>
      <c r="W9" s="461"/>
      <c r="X9" s="461"/>
      <c r="Y9" s="461"/>
      <c r="Z9" s="461"/>
      <c r="AA9" s="461"/>
      <c r="AB9" s="461"/>
      <c r="AC9" s="462"/>
      <c r="AD9" s="112"/>
      <c r="AE9" s="113"/>
    </row>
    <row r="10" spans="1:34" ht="3.95" customHeight="1" x14ac:dyDescent="0.25">
      <c r="A10" s="115"/>
      <c r="B10" s="486"/>
      <c r="C10" s="486"/>
      <c r="D10" s="486"/>
      <c r="E10" s="486"/>
      <c r="F10" s="486"/>
      <c r="G10" s="486"/>
      <c r="H10" s="486"/>
      <c r="I10" s="486"/>
      <c r="J10" s="486"/>
      <c r="K10" s="486"/>
      <c r="L10" s="486"/>
      <c r="M10" s="486"/>
      <c r="N10" s="486"/>
      <c r="O10" s="486"/>
      <c r="P10" s="486"/>
      <c r="Q10" s="486"/>
      <c r="R10" s="486"/>
      <c r="S10" s="486"/>
      <c r="T10" s="486"/>
      <c r="U10" s="486"/>
      <c r="V10" s="486"/>
      <c r="W10" s="486"/>
      <c r="X10" s="486"/>
      <c r="Y10" s="486"/>
      <c r="Z10" s="486"/>
      <c r="AA10" s="486"/>
      <c r="AB10" s="486"/>
      <c r="AC10" s="486"/>
      <c r="AD10" s="116"/>
    </row>
    <row r="11" spans="1:34" ht="18" customHeight="1" x14ac:dyDescent="0.25">
      <c r="A11" s="115"/>
      <c r="B11" s="487" t="s">
        <v>226</v>
      </c>
      <c r="C11" s="488"/>
      <c r="D11" s="488"/>
      <c r="E11" s="488"/>
      <c r="F11" s="488"/>
      <c r="G11" s="488"/>
      <c r="H11" s="488"/>
      <c r="I11" s="488"/>
      <c r="J11" s="488"/>
      <c r="K11" s="488"/>
      <c r="L11" s="488"/>
      <c r="M11" s="488"/>
      <c r="N11" s="488"/>
      <c r="O11" s="488"/>
      <c r="P11" s="488"/>
      <c r="Q11" s="488"/>
      <c r="R11" s="488"/>
      <c r="S11" s="488"/>
      <c r="T11" s="488"/>
      <c r="U11" s="488"/>
      <c r="V11" s="488"/>
      <c r="W11" s="488"/>
      <c r="X11" s="488"/>
      <c r="Y11" s="488"/>
      <c r="Z11" s="488"/>
      <c r="AA11" s="488"/>
      <c r="AB11" s="488"/>
      <c r="AC11" s="489"/>
      <c r="AD11" s="117"/>
      <c r="AE11" s="103"/>
      <c r="AH11" s="118"/>
    </row>
    <row r="12" spans="1:34" ht="15" customHeight="1" x14ac:dyDescent="0.25">
      <c r="A12" s="115"/>
      <c r="B12" s="499" t="s">
        <v>227</v>
      </c>
      <c r="C12" s="499"/>
      <c r="D12" s="499"/>
      <c r="E12" s="499"/>
      <c r="F12" s="499"/>
      <c r="G12" s="499"/>
      <c r="H12" s="499"/>
      <c r="I12" s="499"/>
      <c r="J12" s="499"/>
      <c r="K12" s="440" t="s">
        <v>246</v>
      </c>
      <c r="L12" s="441"/>
      <c r="M12" s="441"/>
      <c r="N12" s="441"/>
      <c r="O12" s="441"/>
      <c r="P12" s="442"/>
      <c r="Q12" s="440" t="s">
        <v>228</v>
      </c>
      <c r="R12" s="441"/>
      <c r="S12" s="441"/>
      <c r="T12" s="442"/>
      <c r="U12" s="440" t="s">
        <v>216</v>
      </c>
      <c r="V12" s="441"/>
      <c r="W12" s="441"/>
      <c r="X12" s="441"/>
      <c r="Y12" s="441"/>
      <c r="Z12" s="441"/>
      <c r="AA12" s="441"/>
      <c r="AB12" s="441"/>
      <c r="AC12" s="442"/>
      <c r="AD12" s="119"/>
    </row>
    <row r="13" spans="1:34" ht="20.25" customHeight="1" x14ac:dyDescent="0.25">
      <c r="A13" s="115"/>
      <c r="B13" s="500" t="s">
        <v>236</v>
      </c>
      <c r="C13" s="500"/>
      <c r="D13" s="500"/>
      <c r="E13" s="496"/>
      <c r="F13" s="497"/>
      <c r="G13" s="498"/>
      <c r="H13" s="496"/>
      <c r="I13" s="497"/>
      <c r="J13" s="498"/>
      <c r="K13" s="464"/>
      <c r="L13" s="465"/>
      <c r="M13" s="465"/>
      <c r="N13" s="466"/>
      <c r="O13" s="473"/>
      <c r="P13" s="473"/>
      <c r="Q13" s="159"/>
      <c r="R13" s="159"/>
      <c r="S13" s="159"/>
      <c r="T13" s="160"/>
      <c r="U13" s="507"/>
      <c r="V13" s="486"/>
      <c r="W13" s="486"/>
      <c r="X13" s="486"/>
      <c r="Y13" s="486"/>
      <c r="Z13" s="486"/>
      <c r="AA13" s="486"/>
      <c r="AB13" s="486"/>
      <c r="AC13" s="508"/>
      <c r="AD13" s="119"/>
    </row>
    <row r="14" spans="1:34" ht="9" customHeight="1" x14ac:dyDescent="0.25">
      <c r="A14" s="115"/>
      <c r="B14" s="500" t="s">
        <v>237</v>
      </c>
      <c r="C14" s="500"/>
      <c r="D14" s="500"/>
      <c r="E14" s="521"/>
      <c r="F14" s="521"/>
      <c r="G14" s="521"/>
      <c r="H14" s="521"/>
      <c r="I14" s="521"/>
      <c r="J14" s="521"/>
      <c r="K14" s="467"/>
      <c r="L14" s="468"/>
      <c r="M14" s="468"/>
      <c r="N14" s="469"/>
      <c r="O14" s="473"/>
      <c r="P14" s="473"/>
      <c r="Q14" s="161"/>
      <c r="R14" s="161"/>
      <c r="S14" s="161"/>
      <c r="T14" s="162"/>
      <c r="U14" s="509"/>
      <c r="V14" s="510"/>
      <c r="W14" s="510"/>
      <c r="X14" s="510"/>
      <c r="Y14" s="510"/>
      <c r="Z14" s="510"/>
      <c r="AA14" s="510"/>
      <c r="AB14" s="510"/>
      <c r="AC14" s="511"/>
      <c r="AD14" s="119"/>
    </row>
    <row r="15" spans="1:34" ht="9" customHeight="1" x14ac:dyDescent="0.25">
      <c r="A15" s="115"/>
      <c r="B15" s="500"/>
      <c r="C15" s="500"/>
      <c r="D15" s="500"/>
      <c r="E15" s="521"/>
      <c r="F15" s="521"/>
      <c r="G15" s="521"/>
      <c r="H15" s="521"/>
      <c r="I15" s="521"/>
      <c r="J15" s="521"/>
      <c r="K15" s="467"/>
      <c r="L15" s="468"/>
      <c r="M15" s="468"/>
      <c r="N15" s="469"/>
      <c r="O15" s="473"/>
      <c r="P15" s="473"/>
      <c r="Q15" s="161"/>
      <c r="R15" s="161"/>
      <c r="S15" s="161"/>
      <c r="T15" s="162"/>
      <c r="U15" s="512"/>
      <c r="V15" s="513"/>
      <c r="W15" s="513"/>
      <c r="X15" s="513"/>
      <c r="Y15" s="513"/>
      <c r="Z15" s="513"/>
      <c r="AA15" s="513"/>
      <c r="AB15" s="513"/>
      <c r="AC15" s="514"/>
      <c r="AD15" s="119"/>
    </row>
    <row r="16" spans="1:34" ht="9.75" customHeight="1" x14ac:dyDescent="0.25">
      <c r="A16" s="115"/>
      <c r="B16" s="490" t="s">
        <v>39</v>
      </c>
      <c r="C16" s="491"/>
      <c r="D16" s="492"/>
      <c r="E16" s="464"/>
      <c r="F16" s="465"/>
      <c r="G16" s="465"/>
      <c r="H16" s="465"/>
      <c r="I16" s="465"/>
      <c r="J16" s="466"/>
      <c r="K16" s="467"/>
      <c r="L16" s="468"/>
      <c r="M16" s="468"/>
      <c r="N16" s="469"/>
      <c r="O16" s="473"/>
      <c r="P16" s="473"/>
      <c r="Q16" s="474" t="s">
        <v>229</v>
      </c>
      <c r="R16" s="475"/>
      <c r="S16" s="475"/>
      <c r="T16" s="476"/>
      <c r="U16" s="501" t="s">
        <v>217</v>
      </c>
      <c r="V16" s="502"/>
      <c r="W16" s="502"/>
      <c r="X16" s="502"/>
      <c r="Y16" s="502"/>
      <c r="Z16" s="502"/>
      <c r="AA16" s="502"/>
      <c r="AB16" s="502"/>
      <c r="AC16" s="503"/>
      <c r="AD16" s="119"/>
    </row>
    <row r="17" spans="1:31" ht="9.75" customHeight="1" x14ac:dyDescent="0.25">
      <c r="A17" s="115"/>
      <c r="B17" s="493"/>
      <c r="C17" s="494"/>
      <c r="D17" s="495"/>
      <c r="E17" s="470"/>
      <c r="F17" s="471"/>
      <c r="G17" s="471"/>
      <c r="H17" s="471"/>
      <c r="I17" s="471"/>
      <c r="J17" s="472"/>
      <c r="K17" s="467"/>
      <c r="L17" s="468"/>
      <c r="M17" s="468"/>
      <c r="N17" s="469"/>
      <c r="O17" s="473"/>
      <c r="P17" s="473"/>
      <c r="Q17" s="477"/>
      <c r="R17" s="478"/>
      <c r="S17" s="478"/>
      <c r="T17" s="479"/>
      <c r="U17" s="501"/>
      <c r="V17" s="502"/>
      <c r="W17" s="502"/>
      <c r="X17" s="502"/>
      <c r="Y17" s="502"/>
      <c r="Z17" s="502"/>
      <c r="AA17" s="502"/>
      <c r="AB17" s="502"/>
      <c r="AC17" s="503"/>
      <c r="AD17" s="119"/>
    </row>
    <row r="18" spans="1:31" ht="16.5" customHeight="1" x14ac:dyDescent="0.25">
      <c r="A18" s="115"/>
      <c r="B18" s="388" t="s">
        <v>248</v>
      </c>
      <c r="C18" s="389"/>
      <c r="D18" s="390"/>
      <c r="E18" s="163"/>
      <c r="F18" s="164"/>
      <c r="G18" s="164"/>
      <c r="H18" s="164"/>
      <c r="I18" s="164"/>
      <c r="J18" s="165"/>
      <c r="K18" s="467"/>
      <c r="L18" s="468"/>
      <c r="M18" s="468"/>
      <c r="N18" s="469"/>
      <c r="O18" s="473"/>
      <c r="P18" s="473"/>
      <c r="Q18" s="477"/>
      <c r="R18" s="478"/>
      <c r="S18" s="478"/>
      <c r="T18" s="479"/>
      <c r="U18" s="501"/>
      <c r="V18" s="502"/>
      <c r="W18" s="502"/>
      <c r="X18" s="502"/>
      <c r="Y18" s="502"/>
      <c r="Z18" s="502"/>
      <c r="AA18" s="502"/>
      <c r="AB18" s="502"/>
      <c r="AC18" s="503"/>
      <c r="AD18" s="119"/>
    </row>
    <row r="19" spans="1:31" ht="16.5" customHeight="1" x14ac:dyDescent="0.25">
      <c r="A19" s="115"/>
      <c r="B19" s="388" t="s">
        <v>250</v>
      </c>
      <c r="C19" s="389"/>
      <c r="D19" s="390"/>
      <c r="E19" s="163"/>
      <c r="F19" s="164"/>
      <c r="G19" s="164"/>
      <c r="H19" s="164"/>
      <c r="I19" s="164"/>
      <c r="J19" s="165"/>
      <c r="K19" s="467"/>
      <c r="L19" s="468"/>
      <c r="M19" s="468"/>
      <c r="N19" s="469"/>
      <c r="O19" s="473"/>
      <c r="P19" s="473"/>
      <c r="Q19" s="477"/>
      <c r="R19" s="478"/>
      <c r="S19" s="478"/>
      <c r="T19" s="479"/>
      <c r="U19" s="501"/>
      <c r="V19" s="502"/>
      <c r="W19" s="502"/>
      <c r="X19" s="502"/>
      <c r="Y19" s="502"/>
      <c r="Z19" s="502"/>
      <c r="AA19" s="502"/>
      <c r="AB19" s="502"/>
      <c r="AC19" s="503"/>
      <c r="AD19" s="119"/>
    </row>
    <row r="20" spans="1:31" ht="18" customHeight="1" x14ac:dyDescent="0.25">
      <c r="A20" s="115"/>
      <c r="B20" s="388" t="s">
        <v>196</v>
      </c>
      <c r="C20" s="389"/>
      <c r="D20" s="390"/>
      <c r="E20" s="496"/>
      <c r="F20" s="497"/>
      <c r="G20" s="497"/>
      <c r="H20" s="497"/>
      <c r="I20" s="497"/>
      <c r="J20" s="498"/>
      <c r="K20" s="470"/>
      <c r="L20" s="471"/>
      <c r="M20" s="471"/>
      <c r="N20" s="472"/>
      <c r="O20" s="473"/>
      <c r="P20" s="473"/>
      <c r="Q20" s="480"/>
      <c r="R20" s="481"/>
      <c r="S20" s="481"/>
      <c r="T20" s="482"/>
      <c r="U20" s="504"/>
      <c r="V20" s="505"/>
      <c r="W20" s="505"/>
      <c r="X20" s="505"/>
      <c r="Y20" s="505"/>
      <c r="Z20" s="505"/>
      <c r="AA20" s="505"/>
      <c r="AB20" s="505"/>
      <c r="AC20" s="506"/>
      <c r="AD20" s="119"/>
    </row>
    <row r="21" spans="1:31" ht="3.95" customHeight="1" x14ac:dyDescent="0.25">
      <c r="A21" s="115"/>
      <c r="B21" s="485"/>
      <c r="C21" s="485"/>
      <c r="D21" s="485"/>
      <c r="E21" s="485"/>
      <c r="F21" s="485"/>
      <c r="G21" s="485"/>
      <c r="H21" s="485"/>
      <c r="I21" s="485"/>
      <c r="J21" s="485"/>
      <c r="K21" s="485"/>
      <c r="L21" s="485"/>
      <c r="M21" s="485"/>
      <c r="N21" s="485"/>
      <c r="O21" s="485"/>
      <c r="P21" s="485"/>
      <c r="Q21" s="485"/>
      <c r="R21" s="485"/>
      <c r="S21" s="485"/>
      <c r="T21" s="485"/>
      <c r="U21" s="485"/>
      <c r="V21" s="485"/>
      <c r="W21" s="485"/>
      <c r="X21" s="485"/>
      <c r="Y21" s="485"/>
      <c r="Z21" s="485"/>
      <c r="AA21" s="485"/>
      <c r="AB21" s="485"/>
      <c r="AC21" s="485"/>
      <c r="AD21" s="116"/>
    </row>
    <row r="22" spans="1:31" s="122" customFormat="1" ht="15" customHeight="1" x14ac:dyDescent="0.25">
      <c r="A22" s="120"/>
      <c r="B22" s="431" t="s">
        <v>218</v>
      </c>
      <c r="C22" s="432"/>
      <c r="D22" s="432"/>
      <c r="E22" s="432"/>
      <c r="F22" s="432"/>
      <c r="G22" s="432"/>
      <c r="H22" s="432"/>
      <c r="I22" s="432"/>
      <c r="J22" s="432"/>
      <c r="K22" s="433"/>
      <c r="L22" s="428" t="s">
        <v>219</v>
      </c>
      <c r="M22" s="428"/>
      <c r="N22" s="428"/>
      <c r="O22" s="428"/>
      <c r="P22" s="428"/>
      <c r="Q22" s="428"/>
      <c r="R22" s="428"/>
      <c r="S22" s="428"/>
      <c r="T22" s="428" t="s">
        <v>220</v>
      </c>
      <c r="U22" s="428"/>
      <c r="V22" s="428"/>
      <c r="W22" s="428"/>
      <c r="X22" s="428"/>
      <c r="Y22" s="428"/>
      <c r="Z22" s="428"/>
      <c r="AA22" s="428"/>
      <c r="AB22" s="428"/>
      <c r="AC22" s="428"/>
      <c r="AD22" s="121"/>
    </row>
    <row r="23" spans="1:31" ht="21" customHeight="1" x14ac:dyDescent="0.25">
      <c r="A23" s="123"/>
      <c r="B23" s="434" t="s">
        <v>221</v>
      </c>
      <c r="C23" s="435"/>
      <c r="D23" s="435"/>
      <c r="E23" s="435"/>
      <c r="F23" s="435"/>
      <c r="G23" s="435"/>
      <c r="H23" s="435"/>
      <c r="I23" s="435"/>
      <c r="J23" s="435"/>
      <c r="K23" s="436"/>
      <c r="L23" s="430" t="s">
        <v>205</v>
      </c>
      <c r="M23" s="430"/>
      <c r="N23" s="430"/>
      <c r="O23" s="430"/>
      <c r="P23" s="430"/>
      <c r="Q23" s="430"/>
      <c r="R23" s="430"/>
      <c r="S23" s="430"/>
      <c r="T23" s="429" t="s">
        <v>222</v>
      </c>
      <c r="U23" s="429"/>
      <c r="V23" s="429"/>
      <c r="W23" s="429"/>
      <c r="X23" s="429"/>
      <c r="Y23" s="429"/>
      <c r="Z23" s="429"/>
      <c r="AA23" s="429"/>
      <c r="AB23" s="429"/>
      <c r="AC23" s="429"/>
      <c r="AD23" s="124"/>
    </row>
    <row r="24" spans="1:31" s="127" customFormat="1" ht="11.25" customHeight="1" x14ac:dyDescent="0.25">
      <c r="A24" s="125"/>
      <c r="B24" s="437"/>
      <c r="C24" s="438"/>
      <c r="D24" s="438"/>
      <c r="E24" s="438"/>
      <c r="F24" s="438"/>
      <c r="G24" s="438"/>
      <c r="H24" s="438"/>
      <c r="I24" s="438"/>
      <c r="J24" s="438"/>
      <c r="K24" s="439"/>
      <c r="L24" s="430"/>
      <c r="M24" s="430"/>
      <c r="N24" s="430"/>
      <c r="O24" s="430"/>
      <c r="P24" s="430"/>
      <c r="Q24" s="430"/>
      <c r="R24" s="430"/>
      <c r="S24" s="430"/>
      <c r="T24" s="429"/>
      <c r="U24" s="429"/>
      <c r="V24" s="429"/>
      <c r="W24" s="429"/>
      <c r="X24" s="429"/>
      <c r="Y24" s="429"/>
      <c r="Z24" s="429"/>
      <c r="AA24" s="429"/>
      <c r="AB24" s="429"/>
      <c r="AC24" s="429"/>
      <c r="AD24" s="126"/>
    </row>
    <row r="25" spans="1:31" s="128" customFormat="1" ht="6" customHeight="1" thickBot="1" x14ac:dyDescent="0.3">
      <c r="A25" s="115"/>
      <c r="B25" s="138"/>
      <c r="C25" s="139"/>
      <c r="D25" s="139"/>
      <c r="E25" s="139"/>
      <c r="F25" s="139"/>
      <c r="G25" s="139"/>
      <c r="H25" s="139"/>
      <c r="I25" s="139"/>
      <c r="J25" s="139"/>
      <c r="K25" s="139"/>
      <c r="L25" s="139"/>
      <c r="M25" s="139"/>
      <c r="N25" s="139"/>
      <c r="O25" s="139"/>
      <c r="P25" s="139"/>
      <c r="Q25" s="139"/>
      <c r="R25" s="139"/>
      <c r="S25" s="140"/>
      <c r="T25" s="140"/>
      <c r="U25" s="139"/>
      <c r="V25" s="139"/>
      <c r="W25" s="103"/>
      <c r="X25" s="141"/>
      <c r="Y25" s="141"/>
      <c r="Z25" s="141"/>
      <c r="AA25" s="141"/>
      <c r="AB25" s="141"/>
      <c r="AC25" s="141"/>
      <c r="AD25" s="116"/>
      <c r="AE25" s="127"/>
    </row>
    <row r="26" spans="1:31" s="128" customFormat="1" ht="4.5" customHeight="1" x14ac:dyDescent="0.25">
      <c r="A26" s="115"/>
      <c r="B26" s="378" t="s">
        <v>256</v>
      </c>
      <c r="C26" s="379"/>
      <c r="D26" s="379"/>
      <c r="E26" s="379"/>
      <c r="F26" s="379"/>
      <c r="G26" s="379"/>
      <c r="H26" s="379"/>
      <c r="I26" s="379"/>
      <c r="J26" s="379"/>
      <c r="K26" s="379"/>
      <c r="L26" s="379"/>
      <c r="M26" s="379"/>
      <c r="N26" s="379"/>
      <c r="O26" s="379"/>
      <c r="P26" s="379"/>
      <c r="Q26" s="379"/>
      <c r="R26" s="379"/>
      <c r="S26" s="380"/>
      <c r="T26" s="522" t="s">
        <v>243</v>
      </c>
      <c r="U26" s="522"/>
      <c r="V26" s="522"/>
      <c r="W26" s="522"/>
      <c r="X26" s="522"/>
      <c r="Y26" s="522"/>
      <c r="Z26" s="522"/>
      <c r="AA26" s="522"/>
      <c r="AB26" s="522"/>
      <c r="AC26" s="523"/>
      <c r="AD26" s="116"/>
      <c r="AE26" s="127"/>
    </row>
    <row r="27" spans="1:31" s="128" customFormat="1" ht="4.5" customHeight="1" x14ac:dyDescent="0.25">
      <c r="A27" s="115"/>
      <c r="B27" s="381"/>
      <c r="C27" s="382"/>
      <c r="D27" s="382"/>
      <c r="E27" s="382"/>
      <c r="F27" s="382"/>
      <c r="G27" s="382"/>
      <c r="H27" s="382"/>
      <c r="I27" s="382"/>
      <c r="J27" s="382"/>
      <c r="K27" s="382"/>
      <c r="L27" s="382"/>
      <c r="M27" s="382"/>
      <c r="N27" s="382"/>
      <c r="O27" s="382"/>
      <c r="P27" s="382"/>
      <c r="Q27" s="382"/>
      <c r="R27" s="382"/>
      <c r="S27" s="383"/>
      <c r="T27" s="524"/>
      <c r="U27" s="524"/>
      <c r="V27" s="524"/>
      <c r="W27" s="524"/>
      <c r="X27" s="524"/>
      <c r="Y27" s="524"/>
      <c r="Z27" s="524"/>
      <c r="AA27" s="524"/>
      <c r="AB27" s="524"/>
      <c r="AC27" s="525"/>
      <c r="AD27" s="116"/>
      <c r="AE27" s="127"/>
    </row>
    <row r="28" spans="1:31" s="128" customFormat="1" ht="4.5" customHeight="1" x14ac:dyDescent="0.25">
      <c r="A28" s="115"/>
      <c r="B28" s="381"/>
      <c r="C28" s="382"/>
      <c r="D28" s="382"/>
      <c r="E28" s="382"/>
      <c r="F28" s="382"/>
      <c r="G28" s="382"/>
      <c r="H28" s="382"/>
      <c r="I28" s="382"/>
      <c r="J28" s="382"/>
      <c r="K28" s="382"/>
      <c r="L28" s="382"/>
      <c r="M28" s="382"/>
      <c r="N28" s="382"/>
      <c r="O28" s="382"/>
      <c r="P28" s="382"/>
      <c r="Q28" s="382"/>
      <c r="R28" s="382"/>
      <c r="S28" s="383"/>
      <c r="T28" s="524"/>
      <c r="U28" s="524"/>
      <c r="V28" s="524"/>
      <c r="W28" s="524"/>
      <c r="X28" s="524"/>
      <c r="Y28" s="524"/>
      <c r="Z28" s="524"/>
      <c r="AA28" s="524"/>
      <c r="AB28" s="524"/>
      <c r="AC28" s="525"/>
      <c r="AD28" s="116"/>
      <c r="AE28" s="127"/>
    </row>
    <row r="29" spans="1:31" s="128" customFormat="1" ht="4.5" customHeight="1" thickBot="1" x14ac:dyDescent="0.3">
      <c r="A29" s="115"/>
      <c r="B29" s="384"/>
      <c r="C29" s="385"/>
      <c r="D29" s="385"/>
      <c r="E29" s="385"/>
      <c r="F29" s="385"/>
      <c r="G29" s="385"/>
      <c r="H29" s="385"/>
      <c r="I29" s="385"/>
      <c r="J29" s="385"/>
      <c r="K29" s="385"/>
      <c r="L29" s="385"/>
      <c r="M29" s="385"/>
      <c r="N29" s="385"/>
      <c r="O29" s="385"/>
      <c r="P29" s="385"/>
      <c r="Q29" s="385"/>
      <c r="R29" s="385"/>
      <c r="S29" s="386"/>
      <c r="T29" s="526"/>
      <c r="U29" s="526"/>
      <c r="V29" s="526"/>
      <c r="W29" s="526"/>
      <c r="X29" s="526"/>
      <c r="Y29" s="526"/>
      <c r="Z29" s="526"/>
      <c r="AA29" s="526"/>
      <c r="AB29" s="526"/>
      <c r="AC29" s="527"/>
      <c r="AD29" s="116"/>
      <c r="AE29" s="127"/>
    </row>
    <row r="30" spans="1:31" s="128" customFormat="1" ht="4.5" customHeight="1" x14ac:dyDescent="0.25">
      <c r="A30" s="115"/>
      <c r="B30" s="166"/>
      <c r="C30" s="167"/>
      <c r="D30" s="167"/>
      <c r="E30" s="167"/>
      <c r="F30" s="167"/>
      <c r="G30" s="167"/>
      <c r="H30" s="167"/>
      <c r="I30" s="167"/>
      <c r="J30" s="167"/>
      <c r="K30" s="167"/>
      <c r="L30" s="167"/>
      <c r="M30" s="167"/>
      <c r="N30" s="167"/>
      <c r="O30" s="167"/>
      <c r="P30" s="167"/>
      <c r="Q30" s="167"/>
      <c r="R30" s="167"/>
      <c r="S30" s="168"/>
      <c r="T30" s="402" t="s">
        <v>39</v>
      </c>
      <c r="U30" s="403"/>
      <c r="V30" s="404"/>
      <c r="W30" s="411" t="s">
        <v>244</v>
      </c>
      <c r="X30" s="403"/>
      <c r="Y30" s="403"/>
      <c r="Z30" s="404"/>
      <c r="AA30" s="411" t="s">
        <v>40</v>
      </c>
      <c r="AB30" s="404"/>
      <c r="AC30" s="418" t="s">
        <v>245</v>
      </c>
      <c r="AD30" s="116"/>
      <c r="AE30" s="127"/>
    </row>
    <row r="31" spans="1:31" s="128" customFormat="1" ht="4.5" customHeight="1" x14ac:dyDescent="0.25">
      <c r="A31" s="115"/>
      <c r="B31" s="166"/>
      <c r="C31" s="167"/>
      <c r="D31" s="167"/>
      <c r="E31" s="167"/>
      <c r="F31" s="167"/>
      <c r="G31" s="167"/>
      <c r="H31" s="167"/>
      <c r="I31" s="167"/>
      <c r="J31" s="167"/>
      <c r="K31" s="167"/>
      <c r="L31" s="167"/>
      <c r="M31" s="167"/>
      <c r="N31" s="167"/>
      <c r="O31" s="167"/>
      <c r="P31" s="167"/>
      <c r="Q31" s="167"/>
      <c r="R31" s="167"/>
      <c r="S31" s="168"/>
      <c r="T31" s="405"/>
      <c r="U31" s="406"/>
      <c r="V31" s="407"/>
      <c r="W31" s="412"/>
      <c r="X31" s="406"/>
      <c r="Y31" s="406"/>
      <c r="Z31" s="407"/>
      <c r="AA31" s="412"/>
      <c r="AB31" s="407"/>
      <c r="AC31" s="419"/>
      <c r="AD31" s="116"/>
      <c r="AE31" s="127"/>
    </row>
    <row r="32" spans="1:31" s="128" customFormat="1" ht="4.5" customHeight="1" x14ac:dyDescent="0.25">
      <c r="A32" s="115"/>
      <c r="B32" s="166"/>
      <c r="C32" s="167"/>
      <c r="D32" s="167"/>
      <c r="E32" s="167"/>
      <c r="F32" s="167"/>
      <c r="G32" s="167"/>
      <c r="H32" s="167"/>
      <c r="I32" s="167"/>
      <c r="J32" s="167"/>
      <c r="K32" s="167"/>
      <c r="L32" s="167"/>
      <c r="M32" s="167"/>
      <c r="N32" s="167"/>
      <c r="O32" s="167"/>
      <c r="P32" s="167"/>
      <c r="Q32" s="167"/>
      <c r="R32" s="167"/>
      <c r="S32" s="168"/>
      <c r="T32" s="405"/>
      <c r="U32" s="406"/>
      <c r="V32" s="407"/>
      <c r="W32" s="412"/>
      <c r="X32" s="406"/>
      <c r="Y32" s="406"/>
      <c r="Z32" s="407"/>
      <c r="AA32" s="412"/>
      <c r="AB32" s="407"/>
      <c r="AC32" s="419"/>
      <c r="AD32" s="116"/>
      <c r="AE32" s="127"/>
    </row>
    <row r="33" spans="1:31" s="128" customFormat="1" ht="4.5" customHeight="1" x14ac:dyDescent="0.25">
      <c r="A33" s="115"/>
      <c r="B33" s="166"/>
      <c r="C33" s="167"/>
      <c r="D33" s="167"/>
      <c r="E33" s="167"/>
      <c r="F33" s="167"/>
      <c r="G33" s="167"/>
      <c r="H33" s="167"/>
      <c r="I33" s="167"/>
      <c r="J33" s="167"/>
      <c r="K33" s="167"/>
      <c r="L33" s="167"/>
      <c r="M33" s="167"/>
      <c r="N33" s="167"/>
      <c r="O33" s="167"/>
      <c r="P33" s="167"/>
      <c r="Q33" s="167"/>
      <c r="R33" s="167"/>
      <c r="S33" s="168"/>
      <c r="T33" s="414"/>
      <c r="U33" s="415"/>
      <c r="V33" s="416"/>
      <c r="W33" s="417"/>
      <c r="X33" s="415"/>
      <c r="Y33" s="415"/>
      <c r="Z33" s="416"/>
      <c r="AA33" s="417"/>
      <c r="AB33" s="416"/>
      <c r="AC33" s="421"/>
      <c r="AD33" s="116"/>
      <c r="AE33" s="127"/>
    </row>
    <row r="34" spans="1:31" s="128" customFormat="1" ht="4.5" customHeight="1" x14ac:dyDescent="0.25">
      <c r="A34" s="115"/>
      <c r="B34" s="166"/>
      <c r="C34" s="167"/>
      <c r="D34" s="167"/>
      <c r="E34" s="167"/>
      <c r="F34" s="167"/>
      <c r="G34" s="167"/>
      <c r="H34" s="167"/>
      <c r="I34" s="167"/>
      <c r="J34" s="167"/>
      <c r="K34" s="167"/>
      <c r="L34" s="167"/>
      <c r="M34" s="167"/>
      <c r="N34" s="167"/>
      <c r="O34" s="167"/>
      <c r="P34" s="167"/>
      <c r="Q34" s="167"/>
      <c r="R34" s="167"/>
      <c r="S34" s="168"/>
      <c r="T34" s="402"/>
      <c r="U34" s="403"/>
      <c r="V34" s="404"/>
      <c r="W34" s="411"/>
      <c r="X34" s="403"/>
      <c r="Y34" s="403"/>
      <c r="Z34" s="404"/>
      <c r="AA34" s="411"/>
      <c r="AB34" s="404"/>
      <c r="AC34" s="418"/>
      <c r="AD34" s="116"/>
      <c r="AE34" s="127"/>
    </row>
    <row r="35" spans="1:31" s="128" customFormat="1" ht="4.5" customHeight="1" x14ac:dyDescent="0.25">
      <c r="A35" s="115"/>
      <c r="B35" s="166"/>
      <c r="C35" s="167"/>
      <c r="D35" s="167"/>
      <c r="E35" s="167"/>
      <c r="F35" s="167"/>
      <c r="G35" s="167"/>
      <c r="H35" s="167"/>
      <c r="I35" s="167"/>
      <c r="J35" s="167"/>
      <c r="K35" s="167"/>
      <c r="L35" s="167"/>
      <c r="M35" s="167"/>
      <c r="N35" s="167"/>
      <c r="O35" s="167"/>
      <c r="P35" s="167"/>
      <c r="Q35" s="167"/>
      <c r="R35" s="167"/>
      <c r="S35" s="168"/>
      <c r="T35" s="405"/>
      <c r="U35" s="406"/>
      <c r="V35" s="407"/>
      <c r="W35" s="412"/>
      <c r="X35" s="406"/>
      <c r="Y35" s="406"/>
      <c r="Z35" s="407"/>
      <c r="AA35" s="412"/>
      <c r="AB35" s="407"/>
      <c r="AC35" s="419"/>
      <c r="AD35" s="116"/>
      <c r="AE35" s="127"/>
    </row>
    <row r="36" spans="1:31" s="128" customFormat="1" ht="4.5" customHeight="1" x14ac:dyDescent="0.25">
      <c r="A36" s="115"/>
      <c r="B36" s="166"/>
      <c r="C36" s="167"/>
      <c r="D36" s="167"/>
      <c r="E36" s="167"/>
      <c r="F36" s="167"/>
      <c r="G36" s="167"/>
      <c r="H36" s="167"/>
      <c r="I36" s="167"/>
      <c r="J36" s="167"/>
      <c r="K36" s="167"/>
      <c r="L36" s="167"/>
      <c r="M36" s="167"/>
      <c r="N36" s="167"/>
      <c r="O36" s="167"/>
      <c r="P36" s="167"/>
      <c r="Q36" s="167"/>
      <c r="R36" s="167"/>
      <c r="S36" s="168"/>
      <c r="T36" s="405"/>
      <c r="U36" s="406"/>
      <c r="V36" s="407"/>
      <c r="W36" s="412"/>
      <c r="X36" s="406"/>
      <c r="Y36" s="406"/>
      <c r="Z36" s="407"/>
      <c r="AA36" s="412"/>
      <c r="AB36" s="407"/>
      <c r="AC36" s="419"/>
      <c r="AD36" s="116"/>
      <c r="AE36" s="127"/>
    </row>
    <row r="37" spans="1:31" s="128" customFormat="1" ht="4.5" customHeight="1" x14ac:dyDescent="0.25">
      <c r="A37" s="115"/>
      <c r="B37" s="166"/>
      <c r="C37" s="167"/>
      <c r="D37" s="167"/>
      <c r="E37" s="167"/>
      <c r="F37" s="167"/>
      <c r="G37" s="167"/>
      <c r="H37" s="167"/>
      <c r="I37" s="167"/>
      <c r="J37" s="167"/>
      <c r="K37" s="167"/>
      <c r="L37" s="167"/>
      <c r="M37" s="167"/>
      <c r="N37" s="167"/>
      <c r="O37" s="167"/>
      <c r="P37" s="167"/>
      <c r="Q37" s="167"/>
      <c r="R37" s="167"/>
      <c r="S37" s="168"/>
      <c r="T37" s="414"/>
      <c r="U37" s="415"/>
      <c r="V37" s="416"/>
      <c r="W37" s="417"/>
      <c r="X37" s="415"/>
      <c r="Y37" s="415"/>
      <c r="Z37" s="416"/>
      <c r="AA37" s="417"/>
      <c r="AB37" s="416"/>
      <c r="AC37" s="421"/>
      <c r="AD37" s="116"/>
      <c r="AE37" s="127"/>
    </row>
    <row r="38" spans="1:31" s="128" customFormat="1" ht="4.5" customHeight="1" x14ac:dyDescent="0.25">
      <c r="A38" s="115"/>
      <c r="B38" s="166"/>
      <c r="C38" s="167"/>
      <c r="D38" s="167"/>
      <c r="E38" s="167"/>
      <c r="F38" s="167"/>
      <c r="G38" s="167"/>
      <c r="H38" s="167"/>
      <c r="I38" s="167"/>
      <c r="J38" s="167"/>
      <c r="K38" s="167"/>
      <c r="L38" s="167"/>
      <c r="M38" s="167"/>
      <c r="N38" s="167"/>
      <c r="O38" s="167"/>
      <c r="P38" s="167"/>
      <c r="Q38" s="167"/>
      <c r="R38" s="167"/>
      <c r="S38" s="168"/>
      <c r="T38" s="402"/>
      <c r="U38" s="403"/>
      <c r="V38" s="404"/>
      <c r="W38" s="411"/>
      <c r="X38" s="403"/>
      <c r="Y38" s="403"/>
      <c r="Z38" s="404"/>
      <c r="AA38" s="411"/>
      <c r="AB38" s="404"/>
      <c r="AC38" s="418"/>
      <c r="AD38" s="116"/>
      <c r="AE38" s="127"/>
    </row>
    <row r="39" spans="1:31" s="128" customFormat="1" ht="4.5" customHeight="1" x14ac:dyDescent="0.25">
      <c r="A39" s="115"/>
      <c r="B39" s="166"/>
      <c r="C39" s="167"/>
      <c r="D39" s="167"/>
      <c r="E39" s="167"/>
      <c r="F39" s="167"/>
      <c r="G39" s="167"/>
      <c r="H39" s="167"/>
      <c r="I39" s="167"/>
      <c r="J39" s="167"/>
      <c r="K39" s="167"/>
      <c r="L39" s="167"/>
      <c r="M39" s="167"/>
      <c r="N39" s="167"/>
      <c r="O39" s="167"/>
      <c r="P39" s="167"/>
      <c r="Q39" s="167"/>
      <c r="R39" s="167"/>
      <c r="S39" s="168"/>
      <c r="T39" s="405"/>
      <c r="U39" s="406"/>
      <c r="V39" s="407"/>
      <c r="W39" s="412"/>
      <c r="X39" s="406"/>
      <c r="Y39" s="406"/>
      <c r="Z39" s="407"/>
      <c r="AA39" s="412"/>
      <c r="AB39" s="407"/>
      <c r="AC39" s="419"/>
      <c r="AD39" s="116"/>
      <c r="AE39" s="127"/>
    </row>
    <row r="40" spans="1:31" s="128" customFormat="1" ht="4.5" customHeight="1" x14ac:dyDescent="0.25">
      <c r="A40" s="115"/>
      <c r="B40" s="166"/>
      <c r="C40" s="167"/>
      <c r="D40" s="167"/>
      <c r="E40" s="167"/>
      <c r="F40" s="167"/>
      <c r="G40" s="167"/>
      <c r="H40" s="167"/>
      <c r="I40" s="167"/>
      <c r="J40" s="167"/>
      <c r="K40" s="167"/>
      <c r="L40" s="167"/>
      <c r="M40" s="167"/>
      <c r="N40" s="167"/>
      <c r="O40" s="167"/>
      <c r="P40" s="167"/>
      <c r="Q40" s="167"/>
      <c r="R40" s="167"/>
      <c r="S40" s="168"/>
      <c r="T40" s="405"/>
      <c r="U40" s="406"/>
      <c r="V40" s="407"/>
      <c r="W40" s="412"/>
      <c r="X40" s="406"/>
      <c r="Y40" s="406"/>
      <c r="Z40" s="407"/>
      <c r="AA40" s="412"/>
      <c r="AB40" s="407"/>
      <c r="AC40" s="419"/>
      <c r="AD40" s="116"/>
      <c r="AE40" s="127"/>
    </row>
    <row r="41" spans="1:31" s="128" customFormat="1" ht="4.5" customHeight="1" x14ac:dyDescent="0.25">
      <c r="A41" s="115"/>
      <c r="B41" s="166"/>
      <c r="C41" s="167"/>
      <c r="D41" s="167"/>
      <c r="E41" s="167"/>
      <c r="F41" s="167"/>
      <c r="G41" s="167"/>
      <c r="H41" s="167"/>
      <c r="I41" s="167"/>
      <c r="J41" s="167"/>
      <c r="K41" s="167"/>
      <c r="L41" s="167"/>
      <c r="M41" s="167"/>
      <c r="N41" s="167"/>
      <c r="O41" s="167"/>
      <c r="P41" s="167"/>
      <c r="Q41" s="167"/>
      <c r="R41" s="167"/>
      <c r="S41" s="168"/>
      <c r="T41" s="414"/>
      <c r="U41" s="415"/>
      <c r="V41" s="416"/>
      <c r="W41" s="417"/>
      <c r="X41" s="415"/>
      <c r="Y41" s="415"/>
      <c r="Z41" s="416"/>
      <c r="AA41" s="417"/>
      <c r="AB41" s="416"/>
      <c r="AC41" s="421"/>
      <c r="AD41" s="116"/>
      <c r="AE41" s="127"/>
    </row>
    <row r="42" spans="1:31" s="128" customFormat="1" ht="4.5" customHeight="1" x14ac:dyDescent="0.25">
      <c r="A42" s="115"/>
      <c r="B42" s="166"/>
      <c r="C42" s="167"/>
      <c r="D42" s="167"/>
      <c r="E42" s="167"/>
      <c r="F42" s="167"/>
      <c r="G42" s="167"/>
      <c r="H42" s="167"/>
      <c r="I42" s="167"/>
      <c r="J42" s="167"/>
      <c r="K42" s="167"/>
      <c r="L42" s="167"/>
      <c r="M42" s="167"/>
      <c r="N42" s="167"/>
      <c r="O42" s="167"/>
      <c r="P42" s="167"/>
      <c r="Q42" s="167"/>
      <c r="R42" s="167"/>
      <c r="S42" s="168"/>
      <c r="T42" s="402"/>
      <c r="U42" s="403"/>
      <c r="V42" s="404"/>
      <c r="W42" s="411"/>
      <c r="X42" s="403"/>
      <c r="Y42" s="403"/>
      <c r="Z42" s="404"/>
      <c r="AA42" s="411"/>
      <c r="AB42" s="404"/>
      <c r="AC42" s="418"/>
      <c r="AD42" s="116"/>
      <c r="AE42" s="127"/>
    </row>
    <row r="43" spans="1:31" s="128" customFormat="1" ht="4.5" customHeight="1" x14ac:dyDescent="0.25">
      <c r="A43" s="115"/>
      <c r="B43" s="166"/>
      <c r="C43" s="167"/>
      <c r="D43" s="167"/>
      <c r="E43" s="167"/>
      <c r="F43" s="167"/>
      <c r="G43" s="167"/>
      <c r="H43" s="167"/>
      <c r="I43" s="167"/>
      <c r="J43" s="167"/>
      <c r="K43" s="167"/>
      <c r="L43" s="167"/>
      <c r="M43" s="167"/>
      <c r="N43" s="167"/>
      <c r="O43" s="167"/>
      <c r="P43" s="167"/>
      <c r="Q43" s="167"/>
      <c r="R43" s="167"/>
      <c r="S43" s="168"/>
      <c r="T43" s="405"/>
      <c r="U43" s="406"/>
      <c r="V43" s="407"/>
      <c r="W43" s="412"/>
      <c r="X43" s="406"/>
      <c r="Y43" s="406"/>
      <c r="Z43" s="407"/>
      <c r="AA43" s="412"/>
      <c r="AB43" s="407"/>
      <c r="AC43" s="419"/>
      <c r="AD43" s="116"/>
      <c r="AE43" s="127"/>
    </row>
    <row r="44" spans="1:31" s="128" customFormat="1" ht="4.5" customHeight="1" x14ac:dyDescent="0.25">
      <c r="A44" s="115"/>
      <c r="B44" s="166"/>
      <c r="C44" s="167"/>
      <c r="D44" s="167"/>
      <c r="E44" s="167"/>
      <c r="F44" s="167"/>
      <c r="G44" s="167"/>
      <c r="H44" s="167"/>
      <c r="I44" s="167"/>
      <c r="J44" s="167"/>
      <c r="K44" s="167"/>
      <c r="L44" s="167"/>
      <c r="M44" s="167"/>
      <c r="N44" s="167"/>
      <c r="O44" s="167"/>
      <c r="P44" s="167"/>
      <c r="Q44" s="167"/>
      <c r="R44" s="167"/>
      <c r="S44" s="168"/>
      <c r="T44" s="405"/>
      <c r="U44" s="406"/>
      <c r="V44" s="407"/>
      <c r="W44" s="412"/>
      <c r="X44" s="406"/>
      <c r="Y44" s="406"/>
      <c r="Z44" s="407"/>
      <c r="AA44" s="412"/>
      <c r="AB44" s="407"/>
      <c r="AC44" s="419"/>
      <c r="AD44" s="116"/>
      <c r="AE44" s="127"/>
    </row>
    <row r="45" spans="1:31" s="128" customFormat="1" ht="4.5" customHeight="1" x14ac:dyDescent="0.25">
      <c r="A45" s="115"/>
      <c r="B45" s="166"/>
      <c r="C45" s="167"/>
      <c r="D45" s="167"/>
      <c r="E45" s="167"/>
      <c r="F45" s="167"/>
      <c r="G45" s="167"/>
      <c r="H45" s="167"/>
      <c r="I45" s="167"/>
      <c r="J45" s="167"/>
      <c r="K45" s="167"/>
      <c r="L45" s="167"/>
      <c r="M45" s="167"/>
      <c r="N45" s="167"/>
      <c r="O45" s="167"/>
      <c r="P45" s="167"/>
      <c r="Q45" s="167"/>
      <c r="R45" s="167"/>
      <c r="S45" s="168"/>
      <c r="T45" s="414"/>
      <c r="U45" s="415"/>
      <c r="V45" s="416"/>
      <c r="W45" s="417"/>
      <c r="X45" s="415"/>
      <c r="Y45" s="415"/>
      <c r="Z45" s="416"/>
      <c r="AA45" s="417"/>
      <c r="AB45" s="416"/>
      <c r="AC45" s="421"/>
      <c r="AD45" s="116"/>
      <c r="AE45" s="127"/>
    </row>
    <row r="46" spans="1:31" s="128" customFormat="1" ht="4.5" customHeight="1" x14ac:dyDescent="0.25">
      <c r="A46" s="115"/>
      <c r="B46" s="166"/>
      <c r="C46" s="167"/>
      <c r="D46" s="167"/>
      <c r="E46" s="167"/>
      <c r="F46" s="167"/>
      <c r="G46" s="167"/>
      <c r="H46" s="167"/>
      <c r="I46" s="167"/>
      <c r="J46" s="167"/>
      <c r="K46" s="167"/>
      <c r="L46" s="167"/>
      <c r="M46" s="167"/>
      <c r="N46" s="167"/>
      <c r="O46" s="167"/>
      <c r="P46" s="167"/>
      <c r="Q46" s="167"/>
      <c r="R46" s="167"/>
      <c r="S46" s="168"/>
      <c r="T46" s="402"/>
      <c r="U46" s="403"/>
      <c r="V46" s="404"/>
      <c r="W46" s="411"/>
      <c r="X46" s="403"/>
      <c r="Y46" s="403"/>
      <c r="Z46" s="404"/>
      <c r="AA46" s="411"/>
      <c r="AB46" s="404"/>
      <c r="AC46" s="418"/>
      <c r="AD46" s="116"/>
      <c r="AE46" s="127"/>
    </row>
    <row r="47" spans="1:31" s="128" customFormat="1" ht="4.5" customHeight="1" x14ac:dyDescent="0.25">
      <c r="A47" s="115"/>
      <c r="B47" s="166"/>
      <c r="C47" s="167"/>
      <c r="D47" s="167"/>
      <c r="E47" s="167"/>
      <c r="F47" s="167"/>
      <c r="G47" s="167"/>
      <c r="H47" s="167"/>
      <c r="I47" s="167"/>
      <c r="J47" s="167"/>
      <c r="K47" s="167"/>
      <c r="L47" s="167"/>
      <c r="M47" s="167"/>
      <c r="N47" s="167"/>
      <c r="O47" s="167"/>
      <c r="P47" s="167"/>
      <c r="Q47" s="167"/>
      <c r="R47" s="167"/>
      <c r="S47" s="168"/>
      <c r="T47" s="405"/>
      <c r="U47" s="406"/>
      <c r="V47" s="407"/>
      <c r="W47" s="412"/>
      <c r="X47" s="406"/>
      <c r="Y47" s="406"/>
      <c r="Z47" s="407"/>
      <c r="AA47" s="412"/>
      <c r="AB47" s="407"/>
      <c r="AC47" s="419"/>
      <c r="AD47" s="116"/>
      <c r="AE47" s="127"/>
    </row>
    <row r="48" spans="1:31" s="128" customFormat="1" ht="4.5" customHeight="1" x14ac:dyDescent="0.25">
      <c r="A48" s="115"/>
      <c r="B48" s="166"/>
      <c r="C48" s="167"/>
      <c r="D48" s="167"/>
      <c r="E48" s="167"/>
      <c r="F48" s="167"/>
      <c r="G48" s="167"/>
      <c r="H48" s="167"/>
      <c r="I48" s="167"/>
      <c r="J48" s="167"/>
      <c r="K48" s="167"/>
      <c r="L48" s="167"/>
      <c r="M48" s="167"/>
      <c r="N48" s="167"/>
      <c r="O48" s="167"/>
      <c r="P48" s="167"/>
      <c r="Q48" s="167"/>
      <c r="R48" s="167"/>
      <c r="S48" s="168"/>
      <c r="T48" s="405"/>
      <c r="U48" s="406"/>
      <c r="V48" s="407"/>
      <c r="W48" s="412"/>
      <c r="X48" s="406"/>
      <c r="Y48" s="406"/>
      <c r="Z48" s="407"/>
      <c r="AA48" s="412"/>
      <c r="AB48" s="407"/>
      <c r="AC48" s="419"/>
      <c r="AD48" s="116"/>
      <c r="AE48" s="127"/>
    </row>
    <row r="49" spans="1:31" s="128" customFormat="1" ht="4.5" customHeight="1" x14ac:dyDescent="0.25">
      <c r="A49" s="115"/>
      <c r="B49" s="166"/>
      <c r="C49" s="167"/>
      <c r="D49" s="167"/>
      <c r="E49" s="167"/>
      <c r="F49" s="167"/>
      <c r="G49" s="167"/>
      <c r="H49" s="167"/>
      <c r="I49" s="167"/>
      <c r="J49" s="167"/>
      <c r="K49" s="167"/>
      <c r="L49" s="167"/>
      <c r="M49" s="167"/>
      <c r="N49" s="167"/>
      <c r="O49" s="167"/>
      <c r="P49" s="167"/>
      <c r="Q49" s="167"/>
      <c r="R49" s="167"/>
      <c r="S49" s="168"/>
      <c r="T49" s="414"/>
      <c r="U49" s="415"/>
      <c r="V49" s="416"/>
      <c r="W49" s="417"/>
      <c r="X49" s="415"/>
      <c r="Y49" s="415"/>
      <c r="Z49" s="416"/>
      <c r="AA49" s="417"/>
      <c r="AB49" s="416"/>
      <c r="AC49" s="421"/>
      <c r="AD49" s="116"/>
      <c r="AE49" s="127"/>
    </row>
    <row r="50" spans="1:31" s="128" customFormat="1" ht="4.5" customHeight="1" x14ac:dyDescent="0.25">
      <c r="A50" s="115"/>
      <c r="B50" s="166"/>
      <c r="C50" s="167"/>
      <c r="D50" s="167"/>
      <c r="E50" s="167"/>
      <c r="F50" s="167"/>
      <c r="G50" s="167"/>
      <c r="H50" s="167"/>
      <c r="I50" s="167"/>
      <c r="J50" s="167"/>
      <c r="K50" s="167"/>
      <c r="L50" s="167"/>
      <c r="M50" s="167"/>
      <c r="N50" s="167"/>
      <c r="O50" s="167"/>
      <c r="P50" s="167"/>
      <c r="Q50" s="167"/>
      <c r="R50" s="167"/>
      <c r="S50" s="168"/>
      <c r="T50" s="402"/>
      <c r="U50" s="403"/>
      <c r="V50" s="404"/>
      <c r="W50" s="411"/>
      <c r="X50" s="403"/>
      <c r="Y50" s="403"/>
      <c r="Z50" s="404"/>
      <c r="AA50" s="411"/>
      <c r="AB50" s="404"/>
      <c r="AC50" s="418"/>
      <c r="AD50" s="116"/>
      <c r="AE50" s="127"/>
    </row>
    <row r="51" spans="1:31" s="128" customFormat="1" ht="4.5" customHeight="1" x14ac:dyDescent="0.25">
      <c r="A51" s="115"/>
      <c r="B51" s="166"/>
      <c r="C51" s="167"/>
      <c r="D51" s="167"/>
      <c r="E51" s="167"/>
      <c r="F51" s="167"/>
      <c r="G51" s="167"/>
      <c r="H51" s="167"/>
      <c r="I51" s="167"/>
      <c r="J51" s="167"/>
      <c r="K51" s="167"/>
      <c r="L51" s="167"/>
      <c r="M51" s="167"/>
      <c r="N51" s="167"/>
      <c r="O51" s="167"/>
      <c r="P51" s="167"/>
      <c r="Q51" s="167"/>
      <c r="R51" s="167"/>
      <c r="S51" s="168"/>
      <c r="T51" s="405"/>
      <c r="U51" s="406"/>
      <c r="V51" s="407"/>
      <c r="W51" s="412"/>
      <c r="X51" s="406"/>
      <c r="Y51" s="406"/>
      <c r="Z51" s="407"/>
      <c r="AA51" s="412"/>
      <c r="AB51" s="407"/>
      <c r="AC51" s="419"/>
      <c r="AD51" s="116"/>
      <c r="AE51" s="127"/>
    </row>
    <row r="52" spans="1:31" s="128" customFormat="1" ht="4.5" customHeight="1" x14ac:dyDescent="0.25">
      <c r="A52" s="115"/>
      <c r="B52" s="166"/>
      <c r="C52" s="167"/>
      <c r="D52" s="167"/>
      <c r="E52" s="167"/>
      <c r="F52" s="167"/>
      <c r="G52" s="167"/>
      <c r="H52" s="167"/>
      <c r="I52" s="167"/>
      <c r="J52" s="167"/>
      <c r="K52" s="167"/>
      <c r="L52" s="167"/>
      <c r="M52" s="167"/>
      <c r="N52" s="167"/>
      <c r="O52" s="167"/>
      <c r="P52" s="167"/>
      <c r="Q52" s="167"/>
      <c r="R52" s="167"/>
      <c r="S52" s="168"/>
      <c r="T52" s="405"/>
      <c r="U52" s="406"/>
      <c r="V52" s="407"/>
      <c r="W52" s="412"/>
      <c r="X52" s="406"/>
      <c r="Y52" s="406"/>
      <c r="Z52" s="407"/>
      <c r="AA52" s="412"/>
      <c r="AB52" s="407"/>
      <c r="AC52" s="419"/>
      <c r="AD52" s="116"/>
      <c r="AE52" s="127"/>
    </row>
    <row r="53" spans="1:31" s="128" customFormat="1" ht="4.5" customHeight="1" x14ac:dyDescent="0.25">
      <c r="A53" s="115"/>
      <c r="B53" s="166"/>
      <c r="C53" s="167"/>
      <c r="D53" s="167"/>
      <c r="E53" s="167"/>
      <c r="F53" s="167"/>
      <c r="G53" s="167"/>
      <c r="H53" s="167"/>
      <c r="I53" s="167"/>
      <c r="J53" s="167"/>
      <c r="K53" s="167"/>
      <c r="L53" s="167"/>
      <c r="M53" s="167"/>
      <c r="N53" s="167"/>
      <c r="O53" s="167"/>
      <c r="P53" s="167"/>
      <c r="Q53" s="167"/>
      <c r="R53" s="167"/>
      <c r="S53" s="168"/>
      <c r="T53" s="414"/>
      <c r="U53" s="415"/>
      <c r="V53" s="416"/>
      <c r="W53" s="417"/>
      <c r="X53" s="415"/>
      <c r="Y53" s="415"/>
      <c r="Z53" s="416"/>
      <c r="AA53" s="417"/>
      <c r="AB53" s="416"/>
      <c r="AC53" s="421"/>
      <c r="AD53" s="116"/>
      <c r="AE53" s="127"/>
    </row>
    <row r="54" spans="1:31" s="128" customFormat="1" ht="4.5" customHeight="1" x14ac:dyDescent="0.25">
      <c r="A54" s="115"/>
      <c r="B54" s="166"/>
      <c r="C54" s="167"/>
      <c r="D54" s="167"/>
      <c r="E54" s="167"/>
      <c r="F54" s="167"/>
      <c r="G54" s="167"/>
      <c r="H54" s="167"/>
      <c r="I54" s="167"/>
      <c r="J54" s="167"/>
      <c r="K54" s="167"/>
      <c r="L54" s="167"/>
      <c r="M54" s="167"/>
      <c r="N54" s="167"/>
      <c r="O54" s="167"/>
      <c r="P54" s="167"/>
      <c r="Q54" s="167"/>
      <c r="R54" s="167"/>
      <c r="S54" s="168"/>
      <c r="T54" s="402"/>
      <c r="U54" s="403"/>
      <c r="V54" s="404"/>
      <c r="W54" s="411"/>
      <c r="X54" s="403"/>
      <c r="Y54" s="403"/>
      <c r="Z54" s="404"/>
      <c r="AA54" s="411"/>
      <c r="AB54" s="404"/>
      <c r="AC54" s="418"/>
      <c r="AD54" s="116"/>
      <c r="AE54" s="127"/>
    </row>
    <row r="55" spans="1:31" s="128" customFormat="1" ht="4.5" customHeight="1" x14ac:dyDescent="0.25">
      <c r="A55" s="115"/>
      <c r="B55" s="166"/>
      <c r="C55" s="167"/>
      <c r="D55" s="167"/>
      <c r="E55" s="167"/>
      <c r="F55" s="167"/>
      <c r="G55" s="167"/>
      <c r="H55" s="167"/>
      <c r="I55" s="167"/>
      <c r="J55" s="167"/>
      <c r="K55" s="167"/>
      <c r="L55" s="167"/>
      <c r="M55" s="167"/>
      <c r="N55" s="167"/>
      <c r="O55" s="167"/>
      <c r="P55" s="167"/>
      <c r="Q55" s="167"/>
      <c r="R55" s="167"/>
      <c r="S55" s="168"/>
      <c r="T55" s="405"/>
      <c r="U55" s="406"/>
      <c r="V55" s="407"/>
      <c r="W55" s="412"/>
      <c r="X55" s="406"/>
      <c r="Y55" s="406"/>
      <c r="Z55" s="407"/>
      <c r="AA55" s="412"/>
      <c r="AB55" s="407"/>
      <c r="AC55" s="419"/>
      <c r="AD55" s="116"/>
      <c r="AE55" s="127"/>
    </row>
    <row r="56" spans="1:31" s="128" customFormat="1" ht="4.5" customHeight="1" x14ac:dyDescent="0.25">
      <c r="A56" s="115"/>
      <c r="B56" s="166"/>
      <c r="C56" s="167"/>
      <c r="D56" s="167"/>
      <c r="E56" s="167"/>
      <c r="F56" s="167"/>
      <c r="G56" s="167"/>
      <c r="H56" s="167"/>
      <c r="I56" s="167"/>
      <c r="J56" s="167"/>
      <c r="K56" s="167"/>
      <c r="L56" s="167"/>
      <c r="M56" s="167"/>
      <c r="N56" s="167"/>
      <c r="O56" s="167"/>
      <c r="P56" s="167"/>
      <c r="Q56" s="167"/>
      <c r="R56" s="167"/>
      <c r="S56" s="168"/>
      <c r="T56" s="405"/>
      <c r="U56" s="406"/>
      <c r="V56" s="407"/>
      <c r="W56" s="412"/>
      <c r="X56" s="406"/>
      <c r="Y56" s="406"/>
      <c r="Z56" s="407"/>
      <c r="AA56" s="412"/>
      <c r="AB56" s="407"/>
      <c r="AC56" s="419"/>
      <c r="AD56" s="116"/>
      <c r="AE56" s="127"/>
    </row>
    <row r="57" spans="1:31" s="128" customFormat="1" ht="4.5" customHeight="1" x14ac:dyDescent="0.25">
      <c r="A57" s="115"/>
      <c r="B57" s="166"/>
      <c r="C57" s="167"/>
      <c r="D57" s="167"/>
      <c r="E57" s="167"/>
      <c r="F57" s="167"/>
      <c r="G57" s="167"/>
      <c r="H57" s="167"/>
      <c r="I57" s="167"/>
      <c r="J57" s="167"/>
      <c r="K57" s="167"/>
      <c r="L57" s="167"/>
      <c r="M57" s="167"/>
      <c r="N57" s="167"/>
      <c r="O57" s="167"/>
      <c r="P57" s="167"/>
      <c r="Q57" s="167"/>
      <c r="R57" s="167"/>
      <c r="S57" s="168"/>
      <c r="T57" s="414"/>
      <c r="U57" s="415"/>
      <c r="V57" s="416"/>
      <c r="W57" s="417"/>
      <c r="X57" s="415"/>
      <c r="Y57" s="415"/>
      <c r="Z57" s="416"/>
      <c r="AA57" s="417"/>
      <c r="AB57" s="416"/>
      <c r="AC57" s="421"/>
      <c r="AD57" s="116"/>
      <c r="AE57" s="127"/>
    </row>
    <row r="58" spans="1:31" s="128" customFormat="1" ht="4.5" customHeight="1" x14ac:dyDescent="0.25">
      <c r="A58" s="115"/>
      <c r="B58" s="166"/>
      <c r="C58" s="167"/>
      <c r="D58" s="167"/>
      <c r="E58" s="167"/>
      <c r="F58" s="167"/>
      <c r="G58" s="167"/>
      <c r="H58" s="167"/>
      <c r="I58" s="167"/>
      <c r="J58" s="167"/>
      <c r="K58" s="167"/>
      <c r="L58" s="167"/>
      <c r="M58" s="167"/>
      <c r="N58" s="167"/>
      <c r="O58" s="167"/>
      <c r="P58" s="167"/>
      <c r="Q58" s="167"/>
      <c r="R58" s="167"/>
      <c r="S58" s="168"/>
      <c r="T58" s="402"/>
      <c r="U58" s="403"/>
      <c r="V58" s="404"/>
      <c r="W58" s="411"/>
      <c r="X58" s="403"/>
      <c r="Y58" s="403"/>
      <c r="Z58" s="404"/>
      <c r="AA58" s="411"/>
      <c r="AB58" s="404"/>
      <c r="AC58" s="418"/>
      <c r="AD58" s="116"/>
      <c r="AE58" s="127"/>
    </row>
    <row r="59" spans="1:31" s="128" customFormat="1" ht="4.5" customHeight="1" x14ac:dyDescent="0.25">
      <c r="A59" s="115"/>
      <c r="B59" s="166"/>
      <c r="C59" s="167"/>
      <c r="D59" s="167"/>
      <c r="E59" s="167"/>
      <c r="F59" s="167"/>
      <c r="G59" s="167"/>
      <c r="H59" s="167"/>
      <c r="I59" s="167"/>
      <c r="J59" s="167"/>
      <c r="K59" s="167"/>
      <c r="L59" s="167"/>
      <c r="M59" s="167"/>
      <c r="N59" s="167"/>
      <c r="O59" s="167"/>
      <c r="P59" s="167"/>
      <c r="Q59" s="167"/>
      <c r="R59" s="167"/>
      <c r="S59" s="168"/>
      <c r="T59" s="405"/>
      <c r="U59" s="406"/>
      <c r="V59" s="407"/>
      <c r="W59" s="412"/>
      <c r="X59" s="406"/>
      <c r="Y59" s="406"/>
      <c r="Z59" s="407"/>
      <c r="AA59" s="412"/>
      <c r="AB59" s="407"/>
      <c r="AC59" s="419"/>
      <c r="AD59" s="116"/>
      <c r="AE59" s="127"/>
    </row>
    <row r="60" spans="1:31" s="128" customFormat="1" ht="4.5" customHeight="1" x14ac:dyDescent="0.25">
      <c r="A60" s="115"/>
      <c r="B60" s="166"/>
      <c r="C60" s="167"/>
      <c r="D60" s="167"/>
      <c r="E60" s="167"/>
      <c r="F60" s="167"/>
      <c r="G60" s="167"/>
      <c r="H60" s="167"/>
      <c r="I60" s="167"/>
      <c r="J60" s="167"/>
      <c r="K60" s="167"/>
      <c r="L60" s="167"/>
      <c r="M60" s="167"/>
      <c r="N60" s="167"/>
      <c r="O60" s="167"/>
      <c r="P60" s="167"/>
      <c r="Q60" s="167"/>
      <c r="R60" s="167"/>
      <c r="S60" s="168"/>
      <c r="T60" s="405"/>
      <c r="U60" s="406"/>
      <c r="V60" s="407"/>
      <c r="W60" s="412"/>
      <c r="X60" s="406"/>
      <c r="Y60" s="406"/>
      <c r="Z60" s="407"/>
      <c r="AA60" s="412"/>
      <c r="AB60" s="407"/>
      <c r="AC60" s="419"/>
      <c r="AD60" s="116"/>
      <c r="AE60" s="127"/>
    </row>
    <row r="61" spans="1:31" s="128" customFormat="1" ht="4.5" customHeight="1" x14ac:dyDescent="0.25">
      <c r="A61" s="115"/>
      <c r="B61" s="166"/>
      <c r="C61" s="167"/>
      <c r="D61" s="167"/>
      <c r="E61" s="167"/>
      <c r="F61" s="167"/>
      <c r="G61" s="167"/>
      <c r="H61" s="167"/>
      <c r="I61" s="167"/>
      <c r="J61" s="167"/>
      <c r="K61" s="167"/>
      <c r="L61" s="167"/>
      <c r="M61" s="167"/>
      <c r="N61" s="167"/>
      <c r="O61" s="167"/>
      <c r="P61" s="167"/>
      <c r="Q61" s="167"/>
      <c r="R61" s="167"/>
      <c r="S61" s="168"/>
      <c r="T61" s="414"/>
      <c r="U61" s="415"/>
      <c r="V61" s="416"/>
      <c r="W61" s="417"/>
      <c r="X61" s="415"/>
      <c r="Y61" s="415"/>
      <c r="Z61" s="416"/>
      <c r="AA61" s="417"/>
      <c r="AB61" s="416"/>
      <c r="AC61" s="421"/>
      <c r="AD61" s="116"/>
      <c r="AE61" s="127"/>
    </row>
    <row r="62" spans="1:31" s="128" customFormat="1" ht="4.5" customHeight="1" x14ac:dyDescent="0.25">
      <c r="A62" s="115"/>
      <c r="B62" s="166"/>
      <c r="C62" s="167"/>
      <c r="D62" s="167"/>
      <c r="E62" s="167"/>
      <c r="F62" s="167"/>
      <c r="G62" s="167"/>
      <c r="H62" s="167"/>
      <c r="I62" s="167"/>
      <c r="J62" s="167"/>
      <c r="K62" s="167"/>
      <c r="L62" s="167"/>
      <c r="M62" s="167"/>
      <c r="N62" s="167"/>
      <c r="O62" s="167"/>
      <c r="P62" s="167"/>
      <c r="Q62" s="167"/>
      <c r="R62" s="167"/>
      <c r="S62" s="168"/>
      <c r="T62" s="402"/>
      <c r="U62" s="403"/>
      <c r="V62" s="404"/>
      <c r="W62" s="411"/>
      <c r="X62" s="403"/>
      <c r="Y62" s="403"/>
      <c r="Z62" s="404"/>
      <c r="AA62" s="411"/>
      <c r="AB62" s="404"/>
      <c r="AC62" s="418"/>
      <c r="AD62" s="116"/>
      <c r="AE62" s="127"/>
    </row>
    <row r="63" spans="1:31" s="128" customFormat="1" ht="4.5" customHeight="1" x14ac:dyDescent="0.25">
      <c r="A63" s="115"/>
      <c r="B63" s="166"/>
      <c r="C63" s="167"/>
      <c r="D63" s="167"/>
      <c r="E63" s="167"/>
      <c r="F63" s="167"/>
      <c r="G63" s="167"/>
      <c r="H63" s="167"/>
      <c r="I63" s="167"/>
      <c r="J63" s="167"/>
      <c r="K63" s="167"/>
      <c r="L63" s="167"/>
      <c r="M63" s="167"/>
      <c r="N63" s="167"/>
      <c r="O63" s="167"/>
      <c r="P63" s="167"/>
      <c r="Q63" s="167"/>
      <c r="R63" s="167"/>
      <c r="S63" s="168"/>
      <c r="T63" s="405"/>
      <c r="U63" s="406"/>
      <c r="V63" s="407"/>
      <c r="W63" s="412"/>
      <c r="X63" s="406"/>
      <c r="Y63" s="406"/>
      <c r="Z63" s="407"/>
      <c r="AA63" s="412"/>
      <c r="AB63" s="407"/>
      <c r="AC63" s="419"/>
      <c r="AD63" s="116"/>
      <c r="AE63" s="127"/>
    </row>
    <row r="64" spans="1:31" s="128" customFormat="1" ht="4.5" customHeight="1" x14ac:dyDescent="0.25">
      <c r="A64" s="115"/>
      <c r="B64" s="166"/>
      <c r="C64" s="167"/>
      <c r="D64" s="167"/>
      <c r="E64" s="167"/>
      <c r="F64" s="167"/>
      <c r="G64" s="167"/>
      <c r="H64" s="167"/>
      <c r="I64" s="167"/>
      <c r="J64" s="167"/>
      <c r="K64" s="167"/>
      <c r="L64" s="167"/>
      <c r="M64" s="167"/>
      <c r="N64" s="167"/>
      <c r="O64" s="167"/>
      <c r="P64" s="167"/>
      <c r="Q64" s="167"/>
      <c r="R64" s="167"/>
      <c r="S64" s="168"/>
      <c r="T64" s="405"/>
      <c r="U64" s="406"/>
      <c r="V64" s="407"/>
      <c r="W64" s="412"/>
      <c r="X64" s="406"/>
      <c r="Y64" s="406"/>
      <c r="Z64" s="407"/>
      <c r="AA64" s="412"/>
      <c r="AB64" s="407"/>
      <c r="AC64" s="419"/>
      <c r="AD64" s="116"/>
      <c r="AE64" s="127"/>
    </row>
    <row r="65" spans="1:34" s="128" customFormat="1" ht="4.5" customHeight="1" x14ac:dyDescent="0.25">
      <c r="A65" s="115"/>
      <c r="B65" s="166"/>
      <c r="C65" s="167"/>
      <c r="D65" s="167"/>
      <c r="E65" s="167"/>
      <c r="F65" s="167"/>
      <c r="G65" s="167"/>
      <c r="H65" s="167"/>
      <c r="I65" s="167"/>
      <c r="J65" s="167"/>
      <c r="K65" s="167"/>
      <c r="L65" s="167"/>
      <c r="M65" s="167"/>
      <c r="N65" s="167"/>
      <c r="O65" s="167"/>
      <c r="P65" s="167"/>
      <c r="Q65" s="167"/>
      <c r="R65" s="167"/>
      <c r="S65" s="168"/>
      <c r="T65" s="414"/>
      <c r="U65" s="415"/>
      <c r="V65" s="416"/>
      <c r="W65" s="417"/>
      <c r="X65" s="415"/>
      <c r="Y65" s="415"/>
      <c r="Z65" s="416"/>
      <c r="AA65" s="417"/>
      <c r="AB65" s="416"/>
      <c r="AC65" s="421"/>
      <c r="AD65" s="116"/>
      <c r="AE65" s="127"/>
    </row>
    <row r="66" spans="1:34" s="128" customFormat="1" ht="4.5" customHeight="1" x14ac:dyDescent="0.25">
      <c r="A66" s="115"/>
      <c r="B66" s="166"/>
      <c r="C66" s="167"/>
      <c r="D66" s="167"/>
      <c r="E66" s="167"/>
      <c r="F66" s="167"/>
      <c r="G66" s="167"/>
      <c r="H66" s="167"/>
      <c r="I66" s="167"/>
      <c r="J66" s="167"/>
      <c r="K66" s="167"/>
      <c r="L66" s="167"/>
      <c r="M66" s="167"/>
      <c r="N66" s="167"/>
      <c r="O66" s="167"/>
      <c r="P66" s="167"/>
      <c r="Q66" s="167"/>
      <c r="R66" s="167"/>
      <c r="S66" s="168"/>
      <c r="T66" s="402"/>
      <c r="U66" s="403"/>
      <c r="V66" s="404"/>
      <c r="W66" s="411"/>
      <c r="X66" s="403"/>
      <c r="Y66" s="403"/>
      <c r="Z66" s="404"/>
      <c r="AA66" s="411"/>
      <c r="AB66" s="404"/>
      <c r="AC66" s="418"/>
      <c r="AD66" s="116"/>
      <c r="AE66" s="127"/>
    </row>
    <row r="67" spans="1:34" s="128" customFormat="1" ht="4.5" customHeight="1" x14ac:dyDescent="0.25">
      <c r="A67" s="115"/>
      <c r="B67" s="166"/>
      <c r="C67" s="167"/>
      <c r="D67" s="167"/>
      <c r="E67" s="167"/>
      <c r="F67" s="167"/>
      <c r="G67" s="167"/>
      <c r="H67" s="167"/>
      <c r="I67" s="167"/>
      <c r="J67" s="167"/>
      <c r="K67" s="167"/>
      <c r="L67" s="167"/>
      <c r="M67" s="167"/>
      <c r="N67" s="167"/>
      <c r="O67" s="167"/>
      <c r="P67" s="167"/>
      <c r="Q67" s="167"/>
      <c r="R67" s="167"/>
      <c r="S67" s="168"/>
      <c r="T67" s="405"/>
      <c r="U67" s="406"/>
      <c r="V67" s="407"/>
      <c r="W67" s="412"/>
      <c r="X67" s="406"/>
      <c r="Y67" s="406"/>
      <c r="Z67" s="407"/>
      <c r="AA67" s="412"/>
      <c r="AB67" s="407"/>
      <c r="AC67" s="419"/>
      <c r="AD67" s="116"/>
      <c r="AE67" s="127"/>
    </row>
    <row r="68" spans="1:34" s="128" customFormat="1" ht="4.5" customHeight="1" x14ac:dyDescent="0.25">
      <c r="A68" s="115"/>
      <c r="B68" s="166"/>
      <c r="C68" s="167"/>
      <c r="D68" s="167"/>
      <c r="E68" s="167"/>
      <c r="F68" s="167"/>
      <c r="G68" s="167"/>
      <c r="H68" s="167"/>
      <c r="I68" s="167"/>
      <c r="J68" s="167"/>
      <c r="K68" s="167"/>
      <c r="L68" s="167"/>
      <c r="M68" s="167"/>
      <c r="N68" s="167"/>
      <c r="O68" s="167"/>
      <c r="P68" s="167"/>
      <c r="Q68" s="167"/>
      <c r="R68" s="167"/>
      <c r="S68" s="168"/>
      <c r="T68" s="405"/>
      <c r="U68" s="406"/>
      <c r="V68" s="407"/>
      <c r="W68" s="412"/>
      <c r="X68" s="406"/>
      <c r="Y68" s="406"/>
      <c r="Z68" s="407"/>
      <c r="AA68" s="412"/>
      <c r="AB68" s="407"/>
      <c r="AC68" s="419"/>
      <c r="AD68" s="116"/>
      <c r="AE68" s="127"/>
    </row>
    <row r="69" spans="1:34" s="128" customFormat="1" ht="4.5" customHeight="1" x14ac:dyDescent="0.25">
      <c r="A69" s="115"/>
      <c r="B69" s="166"/>
      <c r="C69" s="167"/>
      <c r="D69" s="167"/>
      <c r="E69" s="167"/>
      <c r="F69" s="167"/>
      <c r="G69" s="167"/>
      <c r="H69" s="167"/>
      <c r="I69" s="167"/>
      <c r="J69" s="167"/>
      <c r="K69" s="167"/>
      <c r="L69" s="167"/>
      <c r="M69" s="167"/>
      <c r="N69" s="167"/>
      <c r="O69" s="167"/>
      <c r="P69" s="167"/>
      <c r="Q69" s="167"/>
      <c r="R69" s="167"/>
      <c r="S69" s="168"/>
      <c r="T69" s="414"/>
      <c r="U69" s="415"/>
      <c r="V69" s="416"/>
      <c r="W69" s="417"/>
      <c r="X69" s="415"/>
      <c r="Y69" s="415"/>
      <c r="Z69" s="416"/>
      <c r="AA69" s="417"/>
      <c r="AB69" s="416"/>
      <c r="AC69" s="421"/>
      <c r="AD69" s="116"/>
      <c r="AE69" s="127"/>
    </row>
    <row r="70" spans="1:34" s="128" customFormat="1" ht="4.5" customHeight="1" x14ac:dyDescent="0.25">
      <c r="A70" s="115"/>
      <c r="B70" s="166"/>
      <c r="C70" s="167"/>
      <c r="D70" s="167"/>
      <c r="E70" s="167"/>
      <c r="F70" s="167"/>
      <c r="G70" s="167"/>
      <c r="H70" s="167"/>
      <c r="I70" s="167"/>
      <c r="J70" s="167"/>
      <c r="K70" s="167"/>
      <c r="L70" s="167"/>
      <c r="M70" s="167"/>
      <c r="N70" s="167"/>
      <c r="O70" s="167"/>
      <c r="P70" s="167"/>
      <c r="Q70" s="167"/>
      <c r="R70" s="167"/>
      <c r="S70" s="168"/>
      <c r="T70" s="402"/>
      <c r="U70" s="403"/>
      <c r="V70" s="404"/>
      <c r="W70" s="411"/>
      <c r="X70" s="403"/>
      <c r="Y70" s="403"/>
      <c r="Z70" s="404"/>
      <c r="AA70" s="411"/>
      <c r="AB70" s="404"/>
      <c r="AC70" s="418"/>
      <c r="AD70" s="116"/>
      <c r="AE70" s="127"/>
      <c r="AH70" s="158"/>
    </row>
    <row r="71" spans="1:34" s="128" customFormat="1" ht="4.5" customHeight="1" x14ac:dyDescent="0.25">
      <c r="A71" s="115"/>
      <c r="B71" s="166"/>
      <c r="C71" s="167"/>
      <c r="D71" s="167"/>
      <c r="E71" s="167"/>
      <c r="F71" s="167"/>
      <c r="G71" s="167"/>
      <c r="H71" s="167"/>
      <c r="I71" s="167"/>
      <c r="J71" s="167"/>
      <c r="K71" s="167"/>
      <c r="L71" s="167"/>
      <c r="M71" s="167"/>
      <c r="N71" s="167"/>
      <c r="O71" s="167"/>
      <c r="P71" s="167"/>
      <c r="Q71" s="167"/>
      <c r="R71" s="167"/>
      <c r="S71" s="168"/>
      <c r="T71" s="405"/>
      <c r="U71" s="406"/>
      <c r="V71" s="407"/>
      <c r="W71" s="412"/>
      <c r="X71" s="406"/>
      <c r="Y71" s="406"/>
      <c r="Z71" s="407"/>
      <c r="AA71" s="412"/>
      <c r="AB71" s="407"/>
      <c r="AC71" s="419"/>
      <c r="AD71" s="116"/>
      <c r="AE71" s="127"/>
    </row>
    <row r="72" spans="1:34" s="128" customFormat="1" ht="4.5" customHeight="1" x14ac:dyDescent="0.25">
      <c r="A72" s="115"/>
      <c r="B72" s="166"/>
      <c r="C72" s="167"/>
      <c r="D72" s="167"/>
      <c r="E72" s="167"/>
      <c r="F72" s="167"/>
      <c r="G72" s="167"/>
      <c r="H72" s="167"/>
      <c r="I72" s="167"/>
      <c r="J72" s="167"/>
      <c r="K72" s="167"/>
      <c r="L72" s="167"/>
      <c r="M72" s="167"/>
      <c r="N72" s="167"/>
      <c r="O72" s="167"/>
      <c r="P72" s="167"/>
      <c r="Q72" s="167"/>
      <c r="R72" s="167"/>
      <c r="S72" s="168"/>
      <c r="T72" s="405"/>
      <c r="U72" s="406"/>
      <c r="V72" s="407"/>
      <c r="W72" s="412"/>
      <c r="X72" s="406"/>
      <c r="Y72" s="406"/>
      <c r="Z72" s="407"/>
      <c r="AA72" s="412"/>
      <c r="AB72" s="407"/>
      <c r="AC72" s="419"/>
      <c r="AD72" s="116"/>
      <c r="AE72" s="127"/>
    </row>
    <row r="73" spans="1:34" s="128" customFormat="1" ht="4.5" customHeight="1" x14ac:dyDescent="0.25">
      <c r="A73" s="115"/>
      <c r="B73" s="166"/>
      <c r="C73" s="167"/>
      <c r="D73" s="167"/>
      <c r="E73" s="167"/>
      <c r="F73" s="167"/>
      <c r="G73" s="167"/>
      <c r="H73" s="167"/>
      <c r="I73" s="167"/>
      <c r="J73" s="167"/>
      <c r="K73" s="167"/>
      <c r="L73" s="167"/>
      <c r="M73" s="167"/>
      <c r="N73" s="167"/>
      <c r="O73" s="167"/>
      <c r="P73" s="167"/>
      <c r="Q73" s="167"/>
      <c r="R73" s="167"/>
      <c r="S73" s="168"/>
      <c r="T73" s="414"/>
      <c r="U73" s="415"/>
      <c r="V73" s="416"/>
      <c r="W73" s="417"/>
      <c r="X73" s="415"/>
      <c r="Y73" s="415"/>
      <c r="Z73" s="416"/>
      <c r="AA73" s="417"/>
      <c r="AB73" s="416"/>
      <c r="AC73" s="421"/>
      <c r="AD73" s="116"/>
      <c r="AE73" s="127"/>
    </row>
    <row r="74" spans="1:34" s="128" customFormat="1" ht="4.5" customHeight="1" x14ac:dyDescent="0.25">
      <c r="A74" s="115"/>
      <c r="B74" s="166"/>
      <c r="C74" s="167"/>
      <c r="D74" s="167"/>
      <c r="E74" s="167"/>
      <c r="F74" s="167"/>
      <c r="G74" s="167"/>
      <c r="H74" s="167"/>
      <c r="I74" s="167"/>
      <c r="J74" s="167"/>
      <c r="K74" s="167"/>
      <c r="L74" s="167"/>
      <c r="M74" s="167"/>
      <c r="N74" s="167"/>
      <c r="O74" s="167"/>
      <c r="P74" s="167"/>
      <c r="Q74" s="167"/>
      <c r="R74" s="167"/>
      <c r="S74" s="168"/>
      <c r="T74" s="402"/>
      <c r="U74" s="403"/>
      <c r="V74" s="404"/>
      <c r="W74" s="411"/>
      <c r="X74" s="403"/>
      <c r="Y74" s="403"/>
      <c r="Z74" s="404"/>
      <c r="AA74" s="411"/>
      <c r="AB74" s="404"/>
      <c r="AC74" s="418"/>
      <c r="AD74" s="116"/>
      <c r="AE74" s="127"/>
    </row>
    <row r="75" spans="1:34" s="128" customFormat="1" ht="4.5" customHeight="1" x14ac:dyDescent="0.25">
      <c r="A75" s="115"/>
      <c r="B75" s="166"/>
      <c r="C75" s="167"/>
      <c r="D75" s="167"/>
      <c r="E75" s="167"/>
      <c r="F75" s="167"/>
      <c r="G75" s="167"/>
      <c r="H75" s="167"/>
      <c r="I75" s="167"/>
      <c r="J75" s="167"/>
      <c r="K75" s="167"/>
      <c r="L75" s="167"/>
      <c r="M75" s="167"/>
      <c r="N75" s="167"/>
      <c r="O75" s="167"/>
      <c r="P75" s="167"/>
      <c r="Q75" s="167"/>
      <c r="R75" s="167"/>
      <c r="S75" s="168"/>
      <c r="T75" s="405"/>
      <c r="U75" s="406"/>
      <c r="V75" s="407"/>
      <c r="W75" s="412"/>
      <c r="X75" s="406"/>
      <c r="Y75" s="406"/>
      <c r="Z75" s="407"/>
      <c r="AA75" s="412"/>
      <c r="AB75" s="407"/>
      <c r="AC75" s="419"/>
      <c r="AD75" s="116"/>
      <c r="AE75" s="127"/>
    </row>
    <row r="76" spans="1:34" s="128" customFormat="1" ht="4.5" customHeight="1" x14ac:dyDescent="0.25">
      <c r="A76" s="115"/>
      <c r="B76" s="166"/>
      <c r="C76" s="167"/>
      <c r="D76" s="167"/>
      <c r="E76" s="167"/>
      <c r="F76" s="167"/>
      <c r="G76" s="167"/>
      <c r="H76" s="167"/>
      <c r="I76" s="167"/>
      <c r="J76" s="167"/>
      <c r="K76" s="167"/>
      <c r="L76" s="167"/>
      <c r="M76" s="167"/>
      <c r="N76" s="167"/>
      <c r="O76" s="167"/>
      <c r="P76" s="167"/>
      <c r="Q76" s="167"/>
      <c r="R76" s="167"/>
      <c r="S76" s="168"/>
      <c r="T76" s="405"/>
      <c r="U76" s="406"/>
      <c r="V76" s="407"/>
      <c r="W76" s="412"/>
      <c r="X76" s="406"/>
      <c r="Y76" s="406"/>
      <c r="Z76" s="407"/>
      <c r="AA76" s="412"/>
      <c r="AB76" s="407"/>
      <c r="AC76" s="419"/>
      <c r="AD76" s="116"/>
      <c r="AE76" s="127"/>
    </row>
    <row r="77" spans="1:34" s="128" customFormat="1" ht="4.5" customHeight="1" thickBot="1" x14ac:dyDescent="0.3">
      <c r="A77" s="115"/>
      <c r="B77" s="169"/>
      <c r="C77" s="170"/>
      <c r="D77" s="170"/>
      <c r="E77" s="170"/>
      <c r="F77" s="170"/>
      <c r="G77" s="170"/>
      <c r="H77" s="170"/>
      <c r="I77" s="170"/>
      <c r="J77" s="170"/>
      <c r="K77" s="170"/>
      <c r="L77" s="170"/>
      <c r="M77" s="170"/>
      <c r="N77" s="170"/>
      <c r="O77" s="170"/>
      <c r="P77" s="170"/>
      <c r="Q77" s="170"/>
      <c r="R77" s="170"/>
      <c r="S77" s="171"/>
      <c r="T77" s="414"/>
      <c r="U77" s="415"/>
      <c r="V77" s="416"/>
      <c r="W77" s="417"/>
      <c r="X77" s="415"/>
      <c r="Y77" s="415"/>
      <c r="Z77" s="416"/>
      <c r="AA77" s="417"/>
      <c r="AB77" s="416"/>
      <c r="AC77" s="421"/>
      <c r="AD77" s="116"/>
      <c r="AE77" s="127"/>
    </row>
    <row r="78" spans="1:34" s="128" customFormat="1" ht="4.5" customHeight="1" x14ac:dyDescent="0.25">
      <c r="A78" s="115"/>
      <c r="B78" s="393" t="s">
        <v>252</v>
      </c>
      <c r="C78" s="394"/>
      <c r="D78" s="394"/>
      <c r="E78" s="394"/>
      <c r="F78" s="394"/>
      <c r="G78" s="394"/>
      <c r="H78" s="394"/>
      <c r="I78" s="394"/>
      <c r="J78" s="394"/>
      <c r="K78" s="394"/>
      <c r="L78" s="394"/>
      <c r="M78" s="394"/>
      <c r="N78" s="394"/>
      <c r="O78" s="394"/>
      <c r="P78" s="394"/>
      <c r="Q78" s="394"/>
      <c r="R78" s="394"/>
      <c r="S78" s="395"/>
      <c r="T78" s="402"/>
      <c r="U78" s="403"/>
      <c r="V78" s="404"/>
      <c r="W78" s="411"/>
      <c r="X78" s="403"/>
      <c r="Y78" s="403"/>
      <c r="Z78" s="404"/>
      <c r="AA78" s="411"/>
      <c r="AB78" s="404"/>
      <c r="AC78" s="418"/>
      <c r="AD78" s="116"/>
      <c r="AE78" s="127"/>
    </row>
    <row r="79" spans="1:34" s="128" customFormat="1" ht="4.5" customHeight="1" x14ac:dyDescent="0.25">
      <c r="A79" s="115"/>
      <c r="B79" s="396"/>
      <c r="C79" s="397"/>
      <c r="D79" s="397"/>
      <c r="E79" s="397"/>
      <c r="F79" s="397"/>
      <c r="G79" s="397"/>
      <c r="H79" s="397"/>
      <c r="I79" s="397"/>
      <c r="J79" s="397"/>
      <c r="K79" s="397"/>
      <c r="L79" s="397"/>
      <c r="M79" s="397"/>
      <c r="N79" s="397"/>
      <c r="O79" s="397"/>
      <c r="P79" s="397"/>
      <c r="Q79" s="397"/>
      <c r="R79" s="397"/>
      <c r="S79" s="398"/>
      <c r="T79" s="405"/>
      <c r="U79" s="406"/>
      <c r="V79" s="407"/>
      <c r="W79" s="412"/>
      <c r="X79" s="406"/>
      <c r="Y79" s="406"/>
      <c r="Z79" s="407"/>
      <c r="AA79" s="412"/>
      <c r="AB79" s="407"/>
      <c r="AC79" s="419"/>
      <c r="AD79" s="116"/>
      <c r="AE79" s="127"/>
    </row>
    <row r="80" spans="1:34" s="128" customFormat="1" ht="4.5" customHeight="1" x14ac:dyDescent="0.25">
      <c r="A80" s="115"/>
      <c r="B80" s="396"/>
      <c r="C80" s="397"/>
      <c r="D80" s="397"/>
      <c r="E80" s="397"/>
      <c r="F80" s="397"/>
      <c r="G80" s="397"/>
      <c r="H80" s="397"/>
      <c r="I80" s="397"/>
      <c r="J80" s="397"/>
      <c r="K80" s="397"/>
      <c r="L80" s="397"/>
      <c r="M80" s="397"/>
      <c r="N80" s="397"/>
      <c r="O80" s="397"/>
      <c r="P80" s="397"/>
      <c r="Q80" s="397"/>
      <c r="R80" s="397"/>
      <c r="S80" s="398"/>
      <c r="T80" s="405"/>
      <c r="U80" s="406"/>
      <c r="V80" s="407"/>
      <c r="W80" s="412"/>
      <c r="X80" s="406"/>
      <c r="Y80" s="406"/>
      <c r="Z80" s="407"/>
      <c r="AA80" s="412"/>
      <c r="AB80" s="407"/>
      <c r="AC80" s="419"/>
      <c r="AD80" s="116"/>
      <c r="AE80" s="127"/>
    </row>
    <row r="81" spans="1:34" s="128" customFormat="1" ht="4.5" customHeight="1" x14ac:dyDescent="0.25">
      <c r="A81" s="115"/>
      <c r="B81" s="396"/>
      <c r="C81" s="397"/>
      <c r="D81" s="397"/>
      <c r="E81" s="397"/>
      <c r="F81" s="397"/>
      <c r="G81" s="397"/>
      <c r="H81" s="397"/>
      <c r="I81" s="397"/>
      <c r="J81" s="397"/>
      <c r="K81" s="397"/>
      <c r="L81" s="397"/>
      <c r="M81" s="397"/>
      <c r="N81" s="397"/>
      <c r="O81" s="397"/>
      <c r="P81" s="397"/>
      <c r="Q81" s="397"/>
      <c r="R81" s="397"/>
      <c r="S81" s="398"/>
      <c r="T81" s="414"/>
      <c r="U81" s="415"/>
      <c r="V81" s="416"/>
      <c r="W81" s="417"/>
      <c r="X81" s="415"/>
      <c r="Y81" s="415"/>
      <c r="Z81" s="416"/>
      <c r="AA81" s="417"/>
      <c r="AB81" s="416"/>
      <c r="AC81" s="421"/>
      <c r="AD81" s="116"/>
      <c r="AE81" s="127"/>
    </row>
    <row r="82" spans="1:34" s="128" customFormat="1" ht="4.5" customHeight="1" x14ac:dyDescent="0.25">
      <c r="A82" s="115"/>
      <c r="B82" s="396"/>
      <c r="C82" s="397"/>
      <c r="D82" s="397"/>
      <c r="E82" s="397"/>
      <c r="F82" s="397"/>
      <c r="G82" s="397"/>
      <c r="H82" s="397"/>
      <c r="I82" s="397"/>
      <c r="J82" s="397"/>
      <c r="K82" s="397"/>
      <c r="L82" s="397"/>
      <c r="M82" s="397"/>
      <c r="N82" s="397"/>
      <c r="O82" s="397"/>
      <c r="P82" s="397"/>
      <c r="Q82" s="397"/>
      <c r="R82" s="397"/>
      <c r="S82" s="398"/>
      <c r="T82" s="402"/>
      <c r="U82" s="403"/>
      <c r="V82" s="404"/>
      <c r="W82" s="411"/>
      <c r="X82" s="403"/>
      <c r="Y82" s="403"/>
      <c r="Z82" s="404"/>
      <c r="AA82" s="411"/>
      <c r="AB82" s="404"/>
      <c r="AC82" s="418"/>
      <c r="AD82" s="116"/>
      <c r="AE82" s="127"/>
    </row>
    <row r="83" spans="1:34" s="128" customFormat="1" ht="4.5" customHeight="1" x14ac:dyDescent="0.25">
      <c r="A83" s="115"/>
      <c r="B83" s="396"/>
      <c r="C83" s="397"/>
      <c r="D83" s="397"/>
      <c r="E83" s="397"/>
      <c r="F83" s="397"/>
      <c r="G83" s="397"/>
      <c r="H83" s="397"/>
      <c r="I83" s="397"/>
      <c r="J83" s="397"/>
      <c r="K83" s="397"/>
      <c r="L83" s="397"/>
      <c r="M83" s="397"/>
      <c r="N83" s="397"/>
      <c r="O83" s="397"/>
      <c r="P83" s="397"/>
      <c r="Q83" s="397"/>
      <c r="R83" s="397"/>
      <c r="S83" s="398"/>
      <c r="T83" s="405"/>
      <c r="U83" s="406"/>
      <c r="V83" s="407"/>
      <c r="W83" s="412"/>
      <c r="X83" s="406"/>
      <c r="Y83" s="406"/>
      <c r="Z83" s="407"/>
      <c r="AA83" s="412"/>
      <c r="AB83" s="407"/>
      <c r="AC83" s="419"/>
      <c r="AD83" s="116"/>
      <c r="AE83" s="127"/>
      <c r="AH83" s="158"/>
    </row>
    <row r="84" spans="1:34" s="128" customFormat="1" ht="4.5" customHeight="1" x14ac:dyDescent="0.25">
      <c r="A84" s="115"/>
      <c r="B84" s="396"/>
      <c r="C84" s="397"/>
      <c r="D84" s="397"/>
      <c r="E84" s="397"/>
      <c r="F84" s="397"/>
      <c r="G84" s="397"/>
      <c r="H84" s="397"/>
      <c r="I84" s="397"/>
      <c r="J84" s="397"/>
      <c r="K84" s="397"/>
      <c r="L84" s="397"/>
      <c r="M84" s="397"/>
      <c r="N84" s="397"/>
      <c r="O84" s="397"/>
      <c r="P84" s="397"/>
      <c r="Q84" s="397"/>
      <c r="R84" s="397"/>
      <c r="S84" s="398"/>
      <c r="T84" s="405"/>
      <c r="U84" s="406"/>
      <c r="V84" s="407"/>
      <c r="W84" s="412"/>
      <c r="X84" s="406"/>
      <c r="Y84" s="406"/>
      <c r="Z84" s="407"/>
      <c r="AA84" s="412"/>
      <c r="AB84" s="407"/>
      <c r="AC84" s="419"/>
      <c r="AD84" s="116"/>
      <c r="AE84" s="127"/>
    </row>
    <row r="85" spans="1:34" s="128" customFormat="1" ht="4.5" customHeight="1" x14ac:dyDescent="0.25">
      <c r="A85" s="115"/>
      <c r="B85" s="396"/>
      <c r="C85" s="397"/>
      <c r="D85" s="397"/>
      <c r="E85" s="397"/>
      <c r="F85" s="397"/>
      <c r="G85" s="397"/>
      <c r="H85" s="397"/>
      <c r="I85" s="397"/>
      <c r="J85" s="397"/>
      <c r="K85" s="397"/>
      <c r="L85" s="397"/>
      <c r="M85" s="397"/>
      <c r="N85" s="397"/>
      <c r="O85" s="397"/>
      <c r="P85" s="397"/>
      <c r="Q85" s="397"/>
      <c r="R85" s="397"/>
      <c r="S85" s="398"/>
      <c r="T85" s="414"/>
      <c r="U85" s="415"/>
      <c r="V85" s="416"/>
      <c r="W85" s="417"/>
      <c r="X85" s="415"/>
      <c r="Y85" s="415"/>
      <c r="Z85" s="416"/>
      <c r="AA85" s="417"/>
      <c r="AB85" s="416"/>
      <c r="AC85" s="421"/>
      <c r="AD85" s="116"/>
      <c r="AE85" s="127"/>
    </row>
    <row r="86" spans="1:34" s="128" customFormat="1" ht="4.5" customHeight="1" x14ac:dyDescent="0.25">
      <c r="A86" s="115"/>
      <c r="B86" s="396"/>
      <c r="C86" s="397"/>
      <c r="D86" s="397"/>
      <c r="E86" s="397"/>
      <c r="F86" s="397"/>
      <c r="G86" s="397"/>
      <c r="H86" s="397"/>
      <c r="I86" s="397"/>
      <c r="J86" s="397"/>
      <c r="K86" s="397"/>
      <c r="L86" s="397"/>
      <c r="M86" s="397"/>
      <c r="N86" s="397"/>
      <c r="O86" s="397"/>
      <c r="P86" s="397"/>
      <c r="Q86" s="397"/>
      <c r="R86" s="397"/>
      <c r="S86" s="398"/>
      <c r="T86" s="402"/>
      <c r="U86" s="403"/>
      <c r="V86" s="404"/>
      <c r="W86" s="411"/>
      <c r="X86" s="403"/>
      <c r="Y86" s="403"/>
      <c r="Z86" s="404"/>
      <c r="AA86" s="411"/>
      <c r="AB86" s="404"/>
      <c r="AC86" s="418"/>
      <c r="AD86" s="116"/>
      <c r="AE86" s="127"/>
    </row>
    <row r="87" spans="1:34" s="128" customFormat="1" ht="4.5" customHeight="1" x14ac:dyDescent="0.25">
      <c r="A87" s="115"/>
      <c r="B87" s="396"/>
      <c r="C87" s="397"/>
      <c r="D87" s="397"/>
      <c r="E87" s="397"/>
      <c r="F87" s="397"/>
      <c r="G87" s="397"/>
      <c r="H87" s="397"/>
      <c r="I87" s="397"/>
      <c r="J87" s="397"/>
      <c r="K87" s="397"/>
      <c r="L87" s="397"/>
      <c r="M87" s="397"/>
      <c r="N87" s="397"/>
      <c r="O87" s="397"/>
      <c r="P87" s="397"/>
      <c r="Q87" s="397"/>
      <c r="R87" s="397"/>
      <c r="S87" s="398"/>
      <c r="T87" s="405"/>
      <c r="U87" s="406"/>
      <c r="V87" s="407"/>
      <c r="W87" s="412"/>
      <c r="X87" s="406"/>
      <c r="Y87" s="406"/>
      <c r="Z87" s="407"/>
      <c r="AA87" s="412"/>
      <c r="AB87" s="407"/>
      <c r="AC87" s="419"/>
      <c r="AD87" s="116"/>
      <c r="AE87" s="127"/>
    </row>
    <row r="88" spans="1:34" s="128" customFormat="1" ht="4.5" customHeight="1" x14ac:dyDescent="0.25">
      <c r="A88" s="115"/>
      <c r="B88" s="396"/>
      <c r="C88" s="397"/>
      <c r="D88" s="397"/>
      <c r="E88" s="397"/>
      <c r="F88" s="397"/>
      <c r="G88" s="397"/>
      <c r="H88" s="397"/>
      <c r="I88" s="397"/>
      <c r="J88" s="397"/>
      <c r="K88" s="397"/>
      <c r="L88" s="397"/>
      <c r="M88" s="397"/>
      <c r="N88" s="397"/>
      <c r="O88" s="397"/>
      <c r="P88" s="397"/>
      <c r="Q88" s="397"/>
      <c r="R88" s="397"/>
      <c r="S88" s="398"/>
      <c r="T88" s="405"/>
      <c r="U88" s="406"/>
      <c r="V88" s="407"/>
      <c r="W88" s="412"/>
      <c r="X88" s="406"/>
      <c r="Y88" s="406"/>
      <c r="Z88" s="407"/>
      <c r="AA88" s="412"/>
      <c r="AB88" s="407"/>
      <c r="AC88" s="419"/>
      <c r="AD88" s="116"/>
      <c r="AE88" s="127"/>
    </row>
    <row r="89" spans="1:34" s="128" customFormat="1" ht="4.5" customHeight="1" thickBot="1" x14ac:dyDescent="0.3">
      <c r="A89" s="115"/>
      <c r="B89" s="399"/>
      <c r="C89" s="400"/>
      <c r="D89" s="400"/>
      <c r="E89" s="400"/>
      <c r="F89" s="400"/>
      <c r="G89" s="400"/>
      <c r="H89" s="400"/>
      <c r="I89" s="400"/>
      <c r="J89" s="400"/>
      <c r="K89" s="400"/>
      <c r="L89" s="400"/>
      <c r="M89" s="400"/>
      <c r="N89" s="400"/>
      <c r="O89" s="400"/>
      <c r="P89" s="400"/>
      <c r="Q89" s="400"/>
      <c r="R89" s="400"/>
      <c r="S89" s="401"/>
      <c r="T89" s="408"/>
      <c r="U89" s="409"/>
      <c r="V89" s="410"/>
      <c r="W89" s="413"/>
      <c r="X89" s="409"/>
      <c r="Y89" s="409"/>
      <c r="Z89" s="410"/>
      <c r="AA89" s="413"/>
      <c r="AB89" s="410"/>
      <c r="AC89" s="420"/>
      <c r="AD89" s="116"/>
      <c r="AE89" s="127"/>
    </row>
    <row r="90" spans="1:34" ht="3.75" customHeight="1" x14ac:dyDescent="0.25">
      <c r="A90" s="123"/>
      <c r="B90" s="133"/>
      <c r="C90" s="133"/>
      <c r="D90" s="133"/>
      <c r="E90" s="139"/>
      <c r="F90" s="139"/>
      <c r="G90" s="139"/>
      <c r="H90" s="139"/>
      <c r="I90" s="139"/>
      <c r="J90" s="139"/>
      <c r="K90" s="101"/>
      <c r="L90" s="101"/>
      <c r="M90" s="101"/>
      <c r="N90" s="101"/>
      <c r="O90" s="101"/>
      <c r="P90" s="101"/>
      <c r="Q90" s="134"/>
      <c r="R90" s="134"/>
      <c r="S90" s="134"/>
      <c r="T90" s="134"/>
      <c r="U90" s="134"/>
      <c r="V90" s="135"/>
      <c r="W90" s="135"/>
      <c r="X90" s="135"/>
      <c r="Y90" s="135"/>
      <c r="Z90" s="135"/>
      <c r="AA90" s="135"/>
      <c r="AB90" s="135"/>
      <c r="AC90" s="135"/>
      <c r="AD90" s="117"/>
      <c r="AE90" s="136"/>
    </row>
    <row r="91" spans="1:34" ht="3.75" customHeight="1" x14ac:dyDescent="0.25">
      <c r="A91" s="123"/>
      <c r="B91" s="133"/>
      <c r="C91" s="133"/>
      <c r="D91" s="133"/>
      <c r="E91" s="139"/>
      <c r="F91" s="139"/>
      <c r="G91" s="139"/>
      <c r="H91" s="139"/>
      <c r="I91" s="139"/>
      <c r="J91" s="139"/>
      <c r="K91" s="101"/>
      <c r="L91" s="101"/>
      <c r="M91" s="101"/>
      <c r="N91" s="101"/>
      <c r="O91" s="101"/>
      <c r="P91" s="101"/>
      <c r="Q91" s="134"/>
      <c r="R91" s="134"/>
      <c r="S91" s="134"/>
      <c r="T91" s="134"/>
      <c r="U91" s="134"/>
      <c r="V91" s="135"/>
      <c r="W91" s="135"/>
      <c r="X91" s="135"/>
      <c r="Y91" s="135"/>
      <c r="Z91" s="135"/>
      <c r="AA91" s="135"/>
      <c r="AB91" s="135"/>
      <c r="AC91" s="135"/>
      <c r="AD91" s="117"/>
      <c r="AE91" s="134"/>
    </row>
    <row r="92" spans="1:34" ht="16.5" customHeight="1" x14ac:dyDescent="0.25">
      <c r="A92" s="123"/>
      <c r="B92" s="515" t="s">
        <v>238</v>
      </c>
      <c r="C92" s="516"/>
      <c r="D92" s="516"/>
      <c r="E92" s="516"/>
      <c r="F92" s="516"/>
      <c r="G92" s="516"/>
      <c r="H92" s="516"/>
      <c r="I92" s="516"/>
      <c r="J92" s="516"/>
      <c r="K92" s="516"/>
      <c r="L92" s="516"/>
      <c r="M92" s="516"/>
      <c r="N92" s="516"/>
      <c r="O92" s="516"/>
      <c r="P92" s="516"/>
      <c r="Q92" s="516"/>
      <c r="R92" s="516"/>
      <c r="S92" s="516"/>
      <c r="T92" s="517"/>
      <c r="U92" s="518" t="s">
        <v>212</v>
      </c>
      <c r="V92" s="519"/>
      <c r="W92" s="519"/>
      <c r="X92" s="519"/>
      <c r="Y92" s="519"/>
      <c r="Z92" s="519"/>
      <c r="AA92" s="519"/>
      <c r="AB92" s="519"/>
      <c r="AC92" s="520"/>
      <c r="AD92" s="117"/>
      <c r="AE92" s="134"/>
    </row>
    <row r="93" spans="1:34" ht="18" customHeight="1" x14ac:dyDescent="0.25">
      <c r="A93" s="123"/>
      <c r="B93" s="541" t="s">
        <v>223</v>
      </c>
      <c r="C93" s="541"/>
      <c r="D93" s="541"/>
      <c r="E93" s="541"/>
      <c r="F93" s="541"/>
      <c r="G93" s="542" t="s">
        <v>224</v>
      </c>
      <c r="H93" s="543"/>
      <c r="I93" s="543"/>
      <c r="J93" s="543"/>
      <c r="K93" s="543"/>
      <c r="L93" s="543"/>
      <c r="M93" s="544"/>
      <c r="N93" s="537" t="s">
        <v>225</v>
      </c>
      <c r="O93" s="538"/>
      <c r="P93" s="538"/>
      <c r="Q93" s="538"/>
      <c r="R93" s="538"/>
      <c r="S93" s="538"/>
      <c r="T93" s="539"/>
      <c r="U93" s="537" t="s">
        <v>234</v>
      </c>
      <c r="V93" s="538"/>
      <c r="W93" s="538"/>
      <c r="X93" s="538"/>
      <c r="Y93" s="538"/>
      <c r="Z93" s="538"/>
      <c r="AA93" s="538"/>
      <c r="AB93" s="538"/>
      <c r="AC93" s="539"/>
      <c r="AD93" s="117"/>
    </row>
    <row r="94" spans="1:34" ht="11.25" customHeight="1" x14ac:dyDescent="0.25">
      <c r="A94" s="123"/>
      <c r="B94" s="540" t="s">
        <v>231</v>
      </c>
      <c r="C94" s="540"/>
      <c r="D94" s="540"/>
      <c r="E94" s="540"/>
      <c r="F94" s="540"/>
      <c r="G94" s="545"/>
      <c r="H94" s="546"/>
      <c r="I94" s="546"/>
      <c r="J94" s="546"/>
      <c r="K94" s="546"/>
      <c r="L94" s="546"/>
      <c r="M94" s="547"/>
      <c r="N94" s="143"/>
      <c r="O94" s="144"/>
      <c r="P94" s="528" t="s">
        <v>230</v>
      </c>
      <c r="Q94" s="529"/>
      <c r="R94" s="529"/>
      <c r="S94" s="529"/>
      <c r="T94" s="530"/>
      <c r="U94" s="391" t="s">
        <v>249</v>
      </c>
      <c r="V94" s="391"/>
      <c r="W94" s="391"/>
      <c r="X94" s="557"/>
      <c r="Y94" s="558"/>
      <c r="Z94" s="558"/>
      <c r="AA94" s="558"/>
      <c r="AB94" s="558"/>
      <c r="AC94" s="559"/>
      <c r="AD94" s="117"/>
    </row>
    <row r="95" spans="1:34" ht="15.75" customHeight="1" x14ac:dyDescent="0.25">
      <c r="A95" s="123"/>
      <c r="B95" s="540"/>
      <c r="C95" s="540"/>
      <c r="D95" s="540"/>
      <c r="E95" s="540"/>
      <c r="F95" s="540"/>
      <c r="G95" s="548"/>
      <c r="H95" s="549"/>
      <c r="I95" s="549"/>
      <c r="J95" s="549"/>
      <c r="K95" s="549"/>
      <c r="L95" s="549"/>
      <c r="M95" s="550"/>
      <c r="N95" s="145"/>
      <c r="O95" s="146"/>
      <c r="P95" s="531"/>
      <c r="Q95" s="532"/>
      <c r="R95" s="532"/>
      <c r="S95" s="532"/>
      <c r="T95" s="533"/>
      <c r="U95" s="391"/>
      <c r="V95" s="391"/>
      <c r="W95" s="391"/>
      <c r="X95" s="560"/>
      <c r="Y95" s="561"/>
      <c r="Z95" s="561"/>
      <c r="AA95" s="561"/>
      <c r="AB95" s="561"/>
      <c r="AC95" s="562"/>
      <c r="AD95" s="117"/>
    </row>
    <row r="96" spans="1:34" ht="11.25" customHeight="1" x14ac:dyDescent="0.25">
      <c r="A96" s="123"/>
      <c r="B96" s="540" t="s">
        <v>232</v>
      </c>
      <c r="C96" s="540"/>
      <c r="D96" s="540"/>
      <c r="E96" s="540"/>
      <c r="F96" s="540"/>
      <c r="G96" s="548"/>
      <c r="H96" s="549"/>
      <c r="I96" s="549"/>
      <c r="J96" s="549"/>
      <c r="K96" s="549"/>
      <c r="L96" s="549"/>
      <c r="M96" s="550"/>
      <c r="N96" s="145"/>
      <c r="O96" s="146"/>
      <c r="P96" s="531"/>
      <c r="Q96" s="532"/>
      <c r="R96" s="532"/>
      <c r="S96" s="532"/>
      <c r="T96" s="533"/>
      <c r="U96" s="149"/>
      <c r="V96" s="149"/>
      <c r="W96" s="149"/>
      <c r="X96" s="563"/>
      <c r="Y96" s="564"/>
      <c r="Z96" s="564"/>
      <c r="AA96" s="564"/>
      <c r="AB96" s="564"/>
      <c r="AC96" s="565"/>
      <c r="AD96" s="117"/>
    </row>
    <row r="97" spans="1:30" ht="20.25" customHeight="1" x14ac:dyDescent="0.25">
      <c r="A97" s="123"/>
      <c r="B97" s="540"/>
      <c r="C97" s="540"/>
      <c r="D97" s="540"/>
      <c r="E97" s="540"/>
      <c r="F97" s="540"/>
      <c r="G97" s="551" t="s">
        <v>239</v>
      </c>
      <c r="H97" s="552"/>
      <c r="I97" s="552"/>
      <c r="J97" s="552"/>
      <c r="K97" s="552"/>
      <c r="L97" s="552"/>
      <c r="M97" s="553"/>
      <c r="N97" s="147"/>
      <c r="O97" s="148"/>
      <c r="P97" s="534"/>
      <c r="Q97" s="535"/>
      <c r="R97" s="535"/>
      <c r="S97" s="535"/>
      <c r="T97" s="536"/>
      <c r="U97" s="150"/>
      <c r="V97" s="150"/>
      <c r="W97" s="150"/>
      <c r="X97" s="554" t="s">
        <v>235</v>
      </c>
      <c r="Y97" s="555"/>
      <c r="Z97" s="555"/>
      <c r="AA97" s="555"/>
      <c r="AB97" s="555"/>
      <c r="AC97" s="556"/>
      <c r="AD97" s="117"/>
    </row>
    <row r="98" spans="1:30" ht="3.95" customHeight="1" thickBot="1" x14ac:dyDescent="0.3">
      <c r="A98" s="115"/>
      <c r="B98" s="484"/>
      <c r="C98" s="484"/>
      <c r="D98" s="484"/>
      <c r="E98" s="484"/>
      <c r="F98" s="484"/>
      <c r="G98" s="484"/>
      <c r="H98" s="484"/>
      <c r="I98" s="484"/>
      <c r="J98" s="484"/>
      <c r="K98" s="484"/>
      <c r="L98" s="484"/>
      <c r="M98" s="484"/>
      <c r="N98" s="484"/>
      <c r="O98" s="484"/>
      <c r="P98" s="484"/>
      <c r="Q98" s="484"/>
      <c r="R98" s="484"/>
      <c r="S98" s="484"/>
      <c r="T98" s="484"/>
      <c r="U98" s="484"/>
      <c r="V98" s="484"/>
      <c r="W98" s="484"/>
      <c r="X98" s="484"/>
      <c r="Y98" s="484"/>
      <c r="Z98" s="484"/>
      <c r="AA98" s="484"/>
      <c r="AB98" s="484"/>
      <c r="AC98" s="484"/>
      <c r="AD98" s="116"/>
    </row>
    <row r="99" spans="1:30" ht="3.75" customHeight="1" x14ac:dyDescent="0.25">
      <c r="A99" s="104"/>
      <c r="B99" s="129"/>
      <c r="C99" s="129"/>
      <c r="D99" s="129"/>
      <c r="E99" s="129"/>
      <c r="F99" s="129"/>
      <c r="G99" s="129"/>
      <c r="H99" s="129"/>
      <c r="I99" s="129"/>
      <c r="J99" s="130"/>
      <c r="K99" s="130"/>
      <c r="L99" s="130"/>
      <c r="M99" s="130"/>
      <c r="N99" s="130"/>
      <c r="O99" s="130"/>
      <c r="P99" s="130"/>
      <c r="Q99" s="130"/>
      <c r="R99" s="130"/>
      <c r="S99" s="130"/>
      <c r="T99" s="130"/>
      <c r="U99" s="130"/>
      <c r="V99" s="130"/>
      <c r="W99" s="130"/>
      <c r="X99" s="483"/>
      <c r="Y99" s="483"/>
      <c r="Z99" s="131"/>
      <c r="AA99" s="131"/>
      <c r="AB99" s="131"/>
      <c r="AC99" s="132"/>
      <c r="AD99" s="106"/>
    </row>
    <row r="100" spans="1:30" s="122" customFormat="1" ht="12" customHeight="1" x14ac:dyDescent="0.25">
      <c r="A100" s="151"/>
      <c r="B100" s="156" t="s">
        <v>97</v>
      </c>
      <c r="C100" s="152"/>
      <c r="D100" s="152"/>
      <c r="E100" s="152"/>
      <c r="F100" s="152"/>
      <c r="G100" s="152"/>
      <c r="H100" s="152"/>
      <c r="I100" s="152"/>
      <c r="J100" s="152"/>
      <c r="K100" s="152"/>
      <c r="L100" s="152"/>
      <c r="M100" s="152"/>
      <c r="N100" s="152"/>
      <c r="O100" s="152"/>
      <c r="P100" s="152"/>
      <c r="Q100" s="152"/>
      <c r="R100" s="152"/>
      <c r="S100" s="152"/>
      <c r="T100" s="152"/>
      <c r="U100" s="152"/>
      <c r="V100" s="152"/>
      <c r="W100" s="152"/>
      <c r="X100" s="152"/>
      <c r="Y100" s="152"/>
      <c r="Z100" s="152"/>
      <c r="AA100" s="152"/>
      <c r="AB100" s="152"/>
      <c r="AC100" s="152"/>
      <c r="AD100" s="151"/>
    </row>
    <row r="101" spans="1:30" s="154" customFormat="1" ht="12" customHeight="1" x14ac:dyDescent="0.25">
      <c r="A101" s="142"/>
      <c r="B101" s="155" t="s">
        <v>242</v>
      </c>
      <c r="W101" s="142"/>
      <c r="X101" s="142"/>
      <c r="Y101" s="142"/>
    </row>
    <row r="102" spans="1:30" s="154" customFormat="1" ht="12" customHeight="1" x14ac:dyDescent="0.25">
      <c r="A102" s="142"/>
      <c r="B102" s="153" t="s">
        <v>211</v>
      </c>
      <c r="C102" s="153"/>
      <c r="W102" s="142"/>
      <c r="X102" s="142"/>
      <c r="Y102" s="142"/>
      <c r="Z102" s="142"/>
      <c r="AA102" s="142"/>
      <c r="AB102" s="142"/>
      <c r="AC102" s="142"/>
    </row>
    <row r="103" spans="1:30" s="154" customFormat="1" ht="12" customHeight="1" x14ac:dyDescent="0.25">
      <c r="A103" s="142"/>
      <c r="B103" s="153"/>
      <c r="C103" s="153"/>
      <c r="W103" s="142"/>
      <c r="X103" s="142"/>
      <c r="Y103" s="142"/>
      <c r="Z103" s="142"/>
      <c r="AA103" s="142"/>
      <c r="AB103" s="142"/>
      <c r="AC103" s="142"/>
    </row>
    <row r="104" spans="1:30" s="154" customFormat="1" ht="12" customHeight="1" x14ac:dyDescent="0.25">
      <c r="A104" s="142"/>
      <c r="B104" s="153"/>
      <c r="C104" s="153"/>
      <c r="W104" s="142"/>
      <c r="X104" s="142"/>
      <c r="Y104" s="142"/>
      <c r="Z104" s="142"/>
      <c r="AA104" s="142"/>
      <c r="AB104" s="142"/>
      <c r="AC104" s="142"/>
    </row>
    <row r="105" spans="1:30" s="154" customFormat="1" ht="12" customHeight="1" x14ac:dyDescent="0.25">
      <c r="A105" s="142"/>
      <c r="B105" s="153"/>
      <c r="C105" s="153"/>
      <c r="W105" s="142"/>
      <c r="X105" s="142"/>
      <c r="Y105" s="142"/>
      <c r="Z105" s="142"/>
      <c r="AA105" s="142"/>
      <c r="AB105" s="142"/>
      <c r="AC105" s="142"/>
    </row>
    <row r="106" spans="1:30" s="154" customFormat="1" ht="12" customHeight="1" x14ac:dyDescent="0.25">
      <c r="A106" s="142"/>
      <c r="B106" s="153"/>
      <c r="C106" s="153"/>
      <c r="W106" s="142"/>
      <c r="X106" s="142"/>
      <c r="Y106" s="142"/>
      <c r="Z106" s="142"/>
      <c r="AA106" s="142"/>
      <c r="AB106" s="142"/>
      <c r="AC106" s="142"/>
    </row>
    <row r="107" spans="1:30" s="154" customFormat="1" ht="12" customHeight="1" x14ac:dyDescent="0.25">
      <c r="A107" s="142"/>
      <c r="B107" s="153"/>
      <c r="C107" s="153"/>
      <c r="W107" s="142"/>
      <c r="X107" s="142"/>
      <c r="Y107" s="142"/>
      <c r="Z107" s="142"/>
      <c r="AA107" s="142"/>
      <c r="AB107" s="142"/>
      <c r="AC107" s="142"/>
    </row>
    <row r="108" spans="1:30" s="154" customFormat="1" ht="12" customHeight="1" x14ac:dyDescent="0.25">
      <c r="A108" s="142"/>
      <c r="B108" s="153"/>
      <c r="C108" s="153"/>
      <c r="W108" s="142"/>
      <c r="X108" s="142"/>
      <c r="Y108" s="142"/>
      <c r="Z108" s="142"/>
      <c r="AA108" s="142"/>
      <c r="AB108" s="142"/>
      <c r="AC108" s="142"/>
    </row>
    <row r="109" spans="1:30" s="154" customFormat="1" ht="12" customHeight="1" x14ac:dyDescent="0.25">
      <c r="A109" s="142"/>
      <c r="B109" s="153"/>
      <c r="C109" s="153"/>
      <c r="W109" s="142"/>
      <c r="X109" s="142"/>
      <c r="Y109" s="142"/>
      <c r="Z109" s="142"/>
      <c r="AA109" s="142"/>
      <c r="AB109" s="142"/>
      <c r="AC109" s="142"/>
    </row>
    <row r="110" spans="1:30" s="154" customFormat="1" ht="12" customHeight="1" x14ac:dyDescent="0.25">
      <c r="A110" s="142"/>
      <c r="B110" s="153"/>
      <c r="C110" s="153"/>
      <c r="W110" s="142"/>
      <c r="X110" s="142"/>
      <c r="Y110" s="142"/>
      <c r="Z110" s="142"/>
      <c r="AA110" s="142"/>
      <c r="AB110" s="142"/>
      <c r="AC110" s="142"/>
    </row>
    <row r="111" spans="1:30" s="154" customFormat="1" ht="12" customHeight="1" x14ac:dyDescent="0.25">
      <c r="A111" s="142"/>
      <c r="B111" s="153"/>
      <c r="C111" s="153"/>
      <c r="W111" s="142"/>
      <c r="X111" s="142"/>
      <c r="Y111" s="142"/>
      <c r="Z111" s="142"/>
      <c r="AA111" s="142"/>
      <c r="AB111" s="142"/>
      <c r="AC111" s="142"/>
    </row>
    <row r="112" spans="1:30" s="154" customFormat="1" ht="12" customHeight="1" x14ac:dyDescent="0.25">
      <c r="A112" s="142"/>
      <c r="B112" s="153"/>
      <c r="C112" s="153"/>
      <c r="W112" s="142"/>
      <c r="X112" s="142"/>
      <c r="Y112" s="142"/>
      <c r="Z112" s="142"/>
      <c r="AA112" s="142"/>
      <c r="AB112" s="142"/>
      <c r="AC112" s="142"/>
    </row>
    <row r="113" spans="1:29" s="154" customFormat="1" ht="12" customHeight="1" x14ac:dyDescent="0.25">
      <c r="A113" s="142"/>
      <c r="B113" s="153"/>
      <c r="C113" s="153"/>
      <c r="W113" s="142"/>
      <c r="X113" s="142"/>
      <c r="Y113" s="142"/>
      <c r="Z113" s="142"/>
      <c r="AA113" s="142"/>
      <c r="AB113" s="142"/>
      <c r="AC113" s="142"/>
    </row>
    <row r="114" spans="1:29" s="154" customFormat="1" ht="12" customHeight="1" x14ac:dyDescent="0.25">
      <c r="A114" s="142"/>
      <c r="B114" s="153"/>
      <c r="C114" s="153"/>
      <c r="W114" s="142"/>
      <c r="X114" s="142"/>
      <c r="Y114" s="142"/>
      <c r="Z114" s="142"/>
      <c r="AA114" s="142"/>
      <c r="AB114" s="142"/>
      <c r="AC114" s="142"/>
    </row>
    <row r="115" spans="1:29" s="154" customFormat="1" ht="7.5" customHeight="1" x14ac:dyDescent="0.25">
      <c r="A115" s="142"/>
      <c r="B115" s="153"/>
      <c r="C115" s="153"/>
      <c r="W115" s="142"/>
      <c r="X115" s="142"/>
      <c r="Y115" s="142"/>
      <c r="Z115" s="142"/>
      <c r="AA115" s="142"/>
      <c r="AB115" s="142"/>
      <c r="AC115" s="142"/>
    </row>
    <row r="116" spans="1:29" s="154" customFormat="1" ht="12" customHeight="1" x14ac:dyDescent="0.25">
      <c r="A116" s="142"/>
      <c r="B116" s="153"/>
      <c r="C116" s="153"/>
      <c r="W116" s="142"/>
      <c r="X116" s="142"/>
      <c r="Y116" s="142"/>
      <c r="Z116" s="142"/>
      <c r="AA116" s="142"/>
      <c r="AB116" s="142"/>
      <c r="AC116" s="142"/>
    </row>
    <row r="117" spans="1:29" s="154" customFormat="1" ht="5.25" customHeight="1" x14ac:dyDescent="0.25">
      <c r="A117" s="142"/>
      <c r="B117" s="153"/>
      <c r="C117" s="153"/>
      <c r="W117" s="142"/>
      <c r="X117" s="142"/>
      <c r="Y117" s="142"/>
      <c r="Z117" s="142"/>
      <c r="AA117" s="142"/>
      <c r="AB117" s="142"/>
      <c r="AC117" s="142"/>
    </row>
    <row r="118" spans="1:29" s="154" customFormat="1" ht="12" customHeight="1" x14ac:dyDescent="0.25">
      <c r="A118" s="142"/>
      <c r="B118" s="153"/>
      <c r="C118" s="153"/>
      <c r="W118" s="142"/>
      <c r="X118" s="142"/>
      <c r="Y118" s="142"/>
      <c r="Z118" s="142"/>
      <c r="AA118" s="142"/>
      <c r="AB118" s="142"/>
      <c r="AC118" s="142"/>
    </row>
    <row r="119" spans="1:29" s="154" customFormat="1" ht="6.75" customHeight="1" x14ac:dyDescent="0.25">
      <c r="A119" s="142"/>
      <c r="B119" s="153"/>
      <c r="C119" s="153"/>
      <c r="W119" s="142"/>
      <c r="X119" s="142"/>
      <c r="Y119" s="142"/>
      <c r="Z119" s="142"/>
      <c r="AA119" s="142"/>
      <c r="AB119" s="142"/>
      <c r="AC119" s="142"/>
    </row>
    <row r="120" spans="1:29" s="154" customFormat="1" ht="12.75" customHeight="1" x14ac:dyDescent="0.25">
      <c r="A120" s="142"/>
      <c r="B120" s="153"/>
      <c r="C120" s="153"/>
      <c r="W120" s="142"/>
      <c r="X120" s="142"/>
      <c r="Y120" s="142"/>
      <c r="Z120" s="142"/>
      <c r="AB120" s="142"/>
      <c r="AC120" s="142"/>
    </row>
    <row r="121" spans="1:29" x14ac:dyDescent="0.25">
      <c r="B121" s="387" t="s">
        <v>251</v>
      </c>
      <c r="C121" s="387"/>
      <c r="D121" s="387"/>
      <c r="E121" s="387"/>
      <c r="F121" s="387"/>
      <c r="G121" s="387"/>
      <c r="H121" s="387"/>
      <c r="I121" s="387"/>
      <c r="J121" s="387"/>
      <c r="K121" s="387"/>
      <c r="L121" s="387"/>
      <c r="M121" s="387"/>
      <c r="N121" s="387"/>
      <c r="O121" s="387"/>
      <c r="P121" s="387"/>
      <c r="Q121" s="387"/>
      <c r="R121" s="387"/>
      <c r="S121" s="387"/>
      <c r="T121" s="387"/>
      <c r="U121" s="387"/>
      <c r="V121" s="387"/>
      <c r="W121" s="387"/>
      <c r="X121" s="387"/>
      <c r="Y121" s="387"/>
      <c r="Z121" s="387"/>
      <c r="AA121" s="387"/>
      <c r="AB121" s="387"/>
      <c r="AC121" s="387"/>
    </row>
    <row r="122" spans="1:29" x14ac:dyDescent="0.25">
      <c r="B122" s="387" t="s">
        <v>254</v>
      </c>
      <c r="C122" s="387"/>
      <c r="D122" s="387"/>
      <c r="E122" s="387"/>
      <c r="F122" s="387"/>
      <c r="G122" s="387"/>
      <c r="H122" s="387"/>
      <c r="I122" s="387"/>
      <c r="J122" s="387"/>
      <c r="K122" s="387"/>
      <c r="L122" s="387"/>
      <c r="M122" s="387"/>
      <c r="N122" s="387"/>
      <c r="O122" s="387"/>
      <c r="P122" s="387"/>
      <c r="Q122" s="387"/>
      <c r="R122" s="387"/>
      <c r="S122" s="387"/>
      <c r="T122" s="387"/>
      <c r="U122" s="387"/>
      <c r="V122" s="387"/>
      <c r="W122" s="387"/>
      <c r="X122" s="387"/>
      <c r="Y122" s="387"/>
      <c r="Z122" s="387"/>
      <c r="AA122" s="387"/>
      <c r="AB122" s="387"/>
      <c r="AC122" s="387"/>
    </row>
    <row r="123" spans="1:29" x14ac:dyDescent="0.25">
      <c r="B123" s="392" t="s">
        <v>253</v>
      </c>
      <c r="C123" s="392"/>
      <c r="D123" s="392"/>
      <c r="E123" s="392"/>
      <c r="F123" s="392"/>
      <c r="G123" s="392"/>
      <c r="H123" s="392"/>
      <c r="I123" s="392"/>
      <c r="J123" s="392"/>
      <c r="K123" s="392"/>
      <c r="L123" s="392"/>
      <c r="M123" s="392"/>
      <c r="N123" s="392"/>
      <c r="O123" s="392"/>
      <c r="P123" s="392"/>
      <c r="Q123" s="392"/>
      <c r="R123" s="392"/>
      <c r="S123" s="392"/>
      <c r="T123" s="392"/>
      <c r="U123" s="392"/>
      <c r="V123" s="392"/>
      <c r="W123" s="392"/>
      <c r="X123" s="392"/>
      <c r="Y123" s="392"/>
      <c r="Z123" s="392"/>
      <c r="AA123" s="392"/>
      <c r="AB123" s="392"/>
      <c r="AC123" s="392"/>
    </row>
    <row r="124" spans="1:29" x14ac:dyDescent="0.25">
      <c r="AA124" s="157" t="s">
        <v>255</v>
      </c>
    </row>
  </sheetData>
  <dataConsolidate/>
  <mergeCells count="124">
    <mergeCell ref="AA30:AB33"/>
    <mergeCell ref="AC30:AC33"/>
    <mergeCell ref="B96:B97"/>
    <mergeCell ref="C94:F95"/>
    <mergeCell ref="C96:F97"/>
    <mergeCell ref="B93:F93"/>
    <mergeCell ref="G93:M93"/>
    <mergeCell ref="G94:M96"/>
    <mergeCell ref="G97:M97"/>
    <mergeCell ref="X97:AC97"/>
    <mergeCell ref="X94:AC96"/>
    <mergeCell ref="AA38:AB41"/>
    <mergeCell ref="AC38:AC41"/>
    <mergeCell ref="T34:V37"/>
    <mergeCell ref="W34:Z37"/>
    <mergeCell ref="AA34:AB37"/>
    <mergeCell ref="AC34:AC37"/>
    <mergeCell ref="AA50:AB53"/>
    <mergeCell ref="AC50:AC53"/>
    <mergeCell ref="T46:V49"/>
    <mergeCell ref="W46:Z49"/>
    <mergeCell ref="AA46:AB49"/>
    <mergeCell ref="AC46:AC49"/>
    <mergeCell ref="T42:V45"/>
    <mergeCell ref="X99:Y99"/>
    <mergeCell ref="B98:AC98"/>
    <mergeCell ref="B21:AC21"/>
    <mergeCell ref="B10:AC10"/>
    <mergeCell ref="B11:AC11"/>
    <mergeCell ref="B16:D17"/>
    <mergeCell ref="B20:D20"/>
    <mergeCell ref="E16:J17"/>
    <mergeCell ref="E20:J20"/>
    <mergeCell ref="B12:J12"/>
    <mergeCell ref="B13:D13"/>
    <mergeCell ref="B14:D15"/>
    <mergeCell ref="E13:G13"/>
    <mergeCell ref="H13:J13"/>
    <mergeCell ref="U16:AC20"/>
    <mergeCell ref="U13:AC15"/>
    <mergeCell ref="B92:T92"/>
    <mergeCell ref="U92:AC92"/>
    <mergeCell ref="E14:J15"/>
    <mergeCell ref="T26:AC29"/>
    <mergeCell ref="P94:T97"/>
    <mergeCell ref="U93:AC93"/>
    <mergeCell ref="N93:T93"/>
    <mergeCell ref="B94:B95"/>
    <mergeCell ref="B1:AD4"/>
    <mergeCell ref="T22:AC22"/>
    <mergeCell ref="T23:AC24"/>
    <mergeCell ref="L22:S22"/>
    <mergeCell ref="L23:S24"/>
    <mergeCell ref="B22:K22"/>
    <mergeCell ref="B23:K24"/>
    <mergeCell ref="U12:AC12"/>
    <mergeCell ref="B7:AC7"/>
    <mergeCell ref="B8:F8"/>
    <mergeCell ref="G8:L8"/>
    <mergeCell ref="M8:R8"/>
    <mergeCell ref="S8:AC8"/>
    <mergeCell ref="B9:F9"/>
    <mergeCell ref="G9:L9"/>
    <mergeCell ref="M9:R9"/>
    <mergeCell ref="S9:AC9"/>
    <mergeCell ref="A5:AD5"/>
    <mergeCell ref="K13:N20"/>
    <mergeCell ref="Q12:T12"/>
    <mergeCell ref="K12:P12"/>
    <mergeCell ref="O13:P20"/>
    <mergeCell ref="Q16:T20"/>
    <mergeCell ref="T66:V69"/>
    <mergeCell ref="W66:Z69"/>
    <mergeCell ref="AA66:AB69"/>
    <mergeCell ref="AC66:AC69"/>
    <mergeCell ref="W42:Z45"/>
    <mergeCell ref="AA42:AB45"/>
    <mergeCell ref="AC42:AC45"/>
    <mergeCell ref="AA62:AB65"/>
    <mergeCell ref="AC62:AC65"/>
    <mergeCell ref="T58:V61"/>
    <mergeCell ref="W58:Z61"/>
    <mergeCell ref="AA58:AB61"/>
    <mergeCell ref="AC58:AC61"/>
    <mergeCell ref="T54:V57"/>
    <mergeCell ref="W54:Z57"/>
    <mergeCell ref="AA54:AB57"/>
    <mergeCell ref="AC54:AC57"/>
    <mergeCell ref="T78:V81"/>
    <mergeCell ref="W78:Z81"/>
    <mergeCell ref="AA78:AB81"/>
    <mergeCell ref="AC78:AC81"/>
    <mergeCell ref="AC74:AC77"/>
    <mergeCell ref="T74:V77"/>
    <mergeCell ref="W74:Z77"/>
    <mergeCell ref="AA74:AB77"/>
    <mergeCell ref="AC70:AC73"/>
    <mergeCell ref="T70:V73"/>
    <mergeCell ref="W70:Z73"/>
    <mergeCell ref="AA70:AB73"/>
    <mergeCell ref="B26:S29"/>
    <mergeCell ref="B121:AC121"/>
    <mergeCell ref="B18:D18"/>
    <mergeCell ref="B122:AC122"/>
    <mergeCell ref="U94:W95"/>
    <mergeCell ref="B19:D19"/>
    <mergeCell ref="B123:AC123"/>
    <mergeCell ref="B78:S89"/>
    <mergeCell ref="T86:V89"/>
    <mergeCell ref="W86:Z89"/>
    <mergeCell ref="T62:V65"/>
    <mergeCell ref="W62:Z65"/>
    <mergeCell ref="T50:V53"/>
    <mergeCell ref="W50:Z53"/>
    <mergeCell ref="T38:V41"/>
    <mergeCell ref="W38:Z41"/>
    <mergeCell ref="T30:V33"/>
    <mergeCell ref="W30:Z33"/>
    <mergeCell ref="AA86:AB89"/>
    <mergeCell ref="AC86:AC89"/>
    <mergeCell ref="T82:V85"/>
    <mergeCell ref="W82:Z85"/>
    <mergeCell ref="AA82:AB85"/>
    <mergeCell ref="AC82:AC85"/>
  </mergeCells>
  <printOptions horizontalCentered="1" verticalCentered="1"/>
  <pageMargins left="0.23622047244094491" right="0.23622047244094491" top="0.15748031496062992" bottom="0.11811023622047245" header="0.11811023622047245" footer="0.11811023622047245"/>
  <pageSetup paperSize="9" scale="83" orientation="portrait" r:id="rId1"/>
  <headerFooter alignWithMargins="0"/>
  <colBreaks count="1" manualBreakCount="1">
    <brk id="30" max="64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5368" r:id="rId4" name="Check Box 8">
              <controlPr defaultSize="0" autoFill="0" autoLine="0" autoPict="0">
                <anchor moveWithCells="1">
                  <from>
                    <xdr:col>10</xdr:col>
                    <xdr:colOff>0</xdr:colOff>
                    <xdr:row>11</xdr:row>
                    <xdr:rowOff>190500</xdr:rowOff>
                  </from>
                  <to>
                    <xdr:col>13</xdr:col>
                    <xdr:colOff>28575</xdr:colOff>
                    <xdr:row>12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1" r:id="rId5" name="Check Box 11">
              <controlPr defaultSize="0" autoFill="0" autoLine="0" autoPict="0">
                <anchor moveWithCells="1">
                  <from>
                    <xdr:col>16</xdr:col>
                    <xdr:colOff>9525</xdr:colOff>
                    <xdr:row>12</xdr:row>
                    <xdr:rowOff>57150</xdr:rowOff>
                  </from>
                  <to>
                    <xdr:col>18</xdr:col>
                    <xdr:colOff>66675</xdr:colOff>
                    <xdr:row>12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2" r:id="rId6" name="Check Box 12">
              <controlPr defaultSize="0" autoFill="0" autoLine="0" autoPict="0">
                <anchor moveWithCells="1">
                  <from>
                    <xdr:col>16</xdr:col>
                    <xdr:colOff>9525</xdr:colOff>
                    <xdr:row>12</xdr:row>
                    <xdr:rowOff>257175</xdr:rowOff>
                  </from>
                  <to>
                    <xdr:col>19</xdr:col>
                    <xdr:colOff>66675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8" r:id="rId7" name="Check Box 18">
              <controlPr defaultSize="0" autoFill="0" autoLine="0" autoPict="0">
                <anchor moveWithCells="1">
                  <from>
                    <xdr:col>13</xdr:col>
                    <xdr:colOff>0</xdr:colOff>
                    <xdr:row>95</xdr:row>
                    <xdr:rowOff>76200</xdr:rowOff>
                  </from>
                  <to>
                    <xdr:col>14</xdr:col>
                    <xdr:colOff>333375</xdr:colOff>
                    <xdr:row>96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80" r:id="rId8" name="Check Box 20">
              <controlPr defaultSize="0" autoFill="0" autoLine="0" autoPict="0">
                <anchor moveWithCells="1">
                  <from>
                    <xdr:col>10</xdr:col>
                    <xdr:colOff>0</xdr:colOff>
                    <xdr:row>15</xdr:row>
                    <xdr:rowOff>76200</xdr:rowOff>
                  </from>
                  <to>
                    <xdr:col>13</xdr:col>
                    <xdr:colOff>95250</xdr:colOff>
                    <xdr:row>17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81" r:id="rId9" name="Check Box 21">
              <controlPr defaultSize="0" autoFill="0" autoLine="0" autoPict="0">
                <anchor moveWithCells="1">
                  <from>
                    <xdr:col>10</xdr:col>
                    <xdr:colOff>0</xdr:colOff>
                    <xdr:row>18</xdr:row>
                    <xdr:rowOff>123825</xdr:rowOff>
                  </from>
                  <to>
                    <xdr:col>13</xdr:col>
                    <xdr:colOff>66675</xdr:colOff>
                    <xdr:row>19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82" r:id="rId10" name="Check Box 22">
              <controlPr defaultSize="0" autoFill="0" autoLine="0" autoPict="0">
                <anchor moveWithCells="1">
                  <from>
                    <xdr:col>10</xdr:col>
                    <xdr:colOff>0</xdr:colOff>
                    <xdr:row>17</xdr:row>
                    <xdr:rowOff>95250</xdr:rowOff>
                  </from>
                  <to>
                    <xdr:col>14</xdr:col>
                    <xdr:colOff>28575</xdr:colOff>
                    <xdr:row>18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83" r:id="rId11" name="Check Box 23">
              <controlPr defaultSize="0" autoFill="0" autoLine="0" autoPict="0">
                <anchor moveWithCells="1">
                  <from>
                    <xdr:col>20</xdr:col>
                    <xdr:colOff>9525</xdr:colOff>
                    <xdr:row>12</xdr:row>
                    <xdr:rowOff>9525</xdr:rowOff>
                  </from>
                  <to>
                    <xdr:col>27</xdr:col>
                    <xdr:colOff>85725</xdr:colOff>
                    <xdr:row>12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84" r:id="rId12" name="Check Box 24">
              <controlPr defaultSize="0" autoFill="0" autoLine="0" autoPict="0">
                <anchor moveWithCells="1">
                  <from>
                    <xdr:col>20</xdr:col>
                    <xdr:colOff>9525</xdr:colOff>
                    <xdr:row>12</xdr:row>
                    <xdr:rowOff>247650</xdr:rowOff>
                  </from>
                  <to>
                    <xdr:col>27</xdr:col>
                    <xdr:colOff>85725</xdr:colOff>
                    <xdr:row>14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87" r:id="rId13" name="Check Box 27">
              <controlPr defaultSize="0" autoFill="0" autoLine="0" autoPict="0">
                <anchor moveWithCells="1">
                  <from>
                    <xdr:col>13</xdr:col>
                    <xdr:colOff>0</xdr:colOff>
                    <xdr:row>93</xdr:row>
                    <xdr:rowOff>104775</xdr:rowOff>
                  </from>
                  <to>
                    <xdr:col>14</xdr:col>
                    <xdr:colOff>342900</xdr:colOff>
                    <xdr:row>94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91" r:id="rId14" name="Check Box 31">
              <controlPr defaultSize="0" autoFill="0" autoLine="0" autoPict="0">
                <anchor moveWithCells="1">
                  <from>
                    <xdr:col>10</xdr:col>
                    <xdr:colOff>0</xdr:colOff>
                    <xdr:row>13</xdr:row>
                    <xdr:rowOff>0</xdr:rowOff>
                  </from>
                  <to>
                    <xdr:col>12</xdr:col>
                    <xdr:colOff>238125</xdr:colOff>
                    <xdr:row>15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93" r:id="rId15" name="Check Box 33">
              <controlPr defaultSize="0" autoFill="0" autoLine="0" autoPict="0">
                <anchor moveWithCells="1">
                  <from>
                    <xdr:col>4</xdr:col>
                    <xdr:colOff>66675</xdr:colOff>
                    <xdr:row>12</xdr:row>
                    <xdr:rowOff>19050</xdr:rowOff>
                  </from>
                  <to>
                    <xdr:col>6</xdr:col>
                    <xdr:colOff>76200</xdr:colOff>
                    <xdr:row>12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94" r:id="rId16" name="Check Box 34">
              <controlPr defaultSize="0" autoFill="0" autoLine="0" autoPict="0">
                <anchor moveWithCells="1">
                  <from>
                    <xdr:col>7</xdr:col>
                    <xdr:colOff>66675</xdr:colOff>
                    <xdr:row>12</xdr:row>
                    <xdr:rowOff>28575</xdr:rowOff>
                  </from>
                  <to>
                    <xdr:col>9</xdr:col>
                    <xdr:colOff>76200</xdr:colOff>
                    <xdr:row>12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95" r:id="rId17" name="Check Box 35">
              <controlPr defaultSize="0" autoFill="0" autoLine="0" autoPict="0">
                <anchor moveWithCells="1">
                  <from>
                    <xdr:col>13</xdr:col>
                    <xdr:colOff>314325</xdr:colOff>
                    <xdr:row>12</xdr:row>
                    <xdr:rowOff>57150</xdr:rowOff>
                  </from>
                  <to>
                    <xdr:col>16</xdr:col>
                    <xdr:colOff>114300</xdr:colOff>
                    <xdr:row>13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96" r:id="rId18" name="Check Box 36">
              <controlPr defaultSize="0" autoFill="0" autoLine="0" autoPict="0">
                <anchor moveWithCells="1">
                  <from>
                    <xdr:col>13</xdr:col>
                    <xdr:colOff>323850</xdr:colOff>
                    <xdr:row>13</xdr:row>
                    <xdr:rowOff>38100</xdr:rowOff>
                  </from>
                  <to>
                    <xdr:col>16</xdr:col>
                    <xdr:colOff>123825</xdr:colOff>
                    <xdr:row>15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97" r:id="rId19" name="Check Box 37">
              <controlPr defaultSize="0" autoFill="0" autoLine="0" autoPict="0">
                <anchor moveWithCells="1">
                  <from>
                    <xdr:col>14</xdr:col>
                    <xdr:colOff>0</xdr:colOff>
                    <xdr:row>15</xdr:row>
                    <xdr:rowOff>57150</xdr:rowOff>
                  </from>
                  <to>
                    <xdr:col>16</xdr:col>
                    <xdr:colOff>123825</xdr:colOff>
                    <xdr:row>17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AD336"/>
  <sheetViews>
    <sheetView zoomScale="98" zoomScaleNormal="98" zoomScaleSheetLayoutView="110" workbookViewId="0">
      <selection activeCell="AE31" sqref="AE31"/>
    </sheetView>
  </sheetViews>
  <sheetFormatPr defaultRowHeight="15" x14ac:dyDescent="0.25"/>
  <cols>
    <col min="1" max="12" width="6" style="1" customWidth="1"/>
    <col min="13" max="13" width="1" style="1" customWidth="1"/>
    <col min="14" max="14" width="3.28515625" style="1" customWidth="1"/>
    <col min="15" max="15" width="8.28515625" style="1" bestFit="1" customWidth="1"/>
    <col min="16" max="16" width="8.5703125" style="1" customWidth="1"/>
    <col min="17" max="17" width="4.5703125" style="1" customWidth="1"/>
    <col min="18" max="18" width="5.140625" style="1" customWidth="1"/>
    <col min="19" max="19" width="3.5703125" style="1" customWidth="1"/>
    <col min="20" max="20" width="5.85546875" style="1" customWidth="1"/>
    <col min="21" max="21" width="1.140625" style="1" customWidth="1"/>
    <col min="22" max="22" width="2.85546875" style="1" customWidth="1"/>
    <col min="23" max="23" width="3.7109375" style="1" customWidth="1"/>
    <col min="24" max="24" width="2.7109375" style="1" customWidth="1"/>
    <col min="25" max="26" width="4.140625" style="1" customWidth="1"/>
    <col min="27" max="27" width="1.42578125" style="1" customWidth="1"/>
    <col min="28" max="29" width="5.42578125" style="1" customWidth="1"/>
    <col min="30" max="30" width="4.140625" style="1" customWidth="1"/>
    <col min="31" max="16384" width="9.140625" style="1"/>
  </cols>
  <sheetData>
    <row r="1" spans="1:30" ht="5.25" customHeight="1" x14ac:dyDescent="0.25"/>
    <row r="2" spans="1:30" ht="15" customHeight="1" x14ac:dyDescent="0.25">
      <c r="A2" s="172" t="s">
        <v>21</v>
      </c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V2" s="173" t="s">
        <v>22</v>
      </c>
      <c r="W2" s="173"/>
      <c r="X2" s="173"/>
      <c r="Y2" s="173" t="s">
        <v>80</v>
      </c>
      <c r="Z2" s="173"/>
      <c r="AA2" s="173"/>
      <c r="AB2" s="173" t="s">
        <v>100</v>
      </c>
      <c r="AC2" s="173"/>
      <c r="AD2" s="25"/>
    </row>
    <row r="3" spans="1:30" ht="11.25" customHeight="1" x14ac:dyDescent="0.25">
      <c r="A3" s="172"/>
      <c r="B3" s="172"/>
      <c r="C3" s="172"/>
      <c r="D3" s="172"/>
      <c r="E3" s="172"/>
      <c r="F3" s="172"/>
      <c r="G3" s="172"/>
      <c r="H3" s="172"/>
      <c r="I3" s="172"/>
      <c r="J3" s="172"/>
      <c r="K3" s="172"/>
      <c r="L3" s="172"/>
      <c r="M3" s="172"/>
      <c r="N3" s="172"/>
      <c r="O3" s="172"/>
      <c r="P3" s="172"/>
      <c r="Q3" s="172"/>
      <c r="R3" s="172"/>
      <c r="S3" s="172"/>
      <c r="T3" s="172"/>
      <c r="V3" s="174"/>
      <c r="W3" s="174"/>
      <c r="X3" s="174"/>
      <c r="Y3" s="174"/>
      <c r="Z3" s="174"/>
      <c r="AA3" s="174"/>
      <c r="AB3" s="174"/>
      <c r="AC3" s="174"/>
      <c r="AD3" s="25"/>
    </row>
    <row r="4" spans="1:30" ht="11.25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V4" s="174"/>
      <c r="W4" s="174"/>
      <c r="X4" s="174"/>
      <c r="Y4" s="174"/>
      <c r="Z4" s="174"/>
      <c r="AA4" s="174"/>
      <c r="AB4" s="174"/>
      <c r="AC4" s="174"/>
      <c r="AD4" s="25"/>
    </row>
    <row r="5" spans="1:30" s="2" customFormat="1" ht="3.75" customHeight="1" x14ac:dyDescent="0.2"/>
    <row r="6" spans="1:30" s="2" customFormat="1" ht="3.75" customHeight="1" x14ac:dyDescent="0.2"/>
    <row r="7" spans="1:30" s="2" customFormat="1" ht="15.75" customHeight="1" x14ac:dyDescent="0.2">
      <c r="A7" s="184" t="s">
        <v>91</v>
      </c>
      <c r="B7" s="185"/>
      <c r="C7" s="185"/>
      <c r="D7" s="185"/>
      <c r="E7" s="185"/>
      <c r="F7" s="185"/>
      <c r="G7" s="185"/>
      <c r="H7" s="185"/>
      <c r="I7" s="185"/>
      <c r="J7" s="185"/>
      <c r="K7" s="185"/>
      <c r="L7" s="185"/>
      <c r="N7" s="186" t="s">
        <v>94</v>
      </c>
      <c r="O7" s="187"/>
      <c r="P7" s="187"/>
      <c r="Q7" s="187"/>
      <c r="R7" s="187"/>
      <c r="S7" s="187"/>
      <c r="T7" s="187"/>
      <c r="U7" s="26"/>
      <c r="V7" s="188" t="s">
        <v>23</v>
      </c>
      <c r="W7" s="188"/>
      <c r="X7" s="188"/>
      <c r="Y7" s="188"/>
      <c r="Z7" s="188"/>
      <c r="AA7" s="188"/>
      <c r="AB7" s="188"/>
      <c r="AC7" s="188"/>
      <c r="AD7" s="26"/>
    </row>
    <row r="8" spans="1:30" s="2" customFormat="1" ht="15.75" customHeight="1" x14ac:dyDescent="0.2">
      <c r="A8" s="185"/>
      <c r="B8" s="185"/>
      <c r="C8" s="185"/>
      <c r="D8" s="185"/>
      <c r="E8" s="185"/>
      <c r="F8" s="185"/>
      <c r="G8" s="185"/>
      <c r="H8" s="185"/>
      <c r="I8" s="185"/>
      <c r="J8" s="185"/>
      <c r="K8" s="185"/>
      <c r="L8" s="185"/>
      <c r="N8" s="187"/>
      <c r="O8" s="187"/>
      <c r="P8" s="187"/>
      <c r="Q8" s="187"/>
      <c r="R8" s="187"/>
      <c r="S8" s="187"/>
      <c r="T8" s="187"/>
      <c r="U8" s="26"/>
      <c r="V8" s="188"/>
      <c r="W8" s="188"/>
      <c r="X8" s="188"/>
      <c r="Y8" s="188"/>
      <c r="Z8" s="188"/>
      <c r="AA8" s="188"/>
      <c r="AB8" s="188"/>
      <c r="AC8" s="188"/>
      <c r="AD8" s="26"/>
    </row>
    <row r="9" spans="1:30" s="2" customFormat="1" ht="11.25" customHeight="1" x14ac:dyDescent="0.2">
      <c r="A9" s="185"/>
      <c r="B9" s="185"/>
      <c r="C9" s="185"/>
      <c r="D9" s="185"/>
      <c r="E9" s="185"/>
      <c r="F9" s="185"/>
      <c r="G9" s="185"/>
      <c r="H9" s="185"/>
      <c r="I9" s="185"/>
      <c r="J9" s="185"/>
      <c r="K9" s="185"/>
      <c r="L9" s="185"/>
      <c r="N9" s="187" t="s">
        <v>24</v>
      </c>
      <c r="O9" s="186" t="s">
        <v>83</v>
      </c>
      <c r="P9" s="186" t="s">
        <v>25</v>
      </c>
      <c r="Q9" s="186" t="s">
        <v>84</v>
      </c>
      <c r="R9" s="186" t="s">
        <v>26</v>
      </c>
      <c r="S9" s="186" t="s">
        <v>27</v>
      </c>
      <c r="T9" s="186" t="s">
        <v>28</v>
      </c>
      <c r="U9" s="26"/>
      <c r="V9" s="189" t="s">
        <v>29</v>
      </c>
      <c r="W9" s="190"/>
      <c r="X9" s="190"/>
      <c r="Y9" s="190"/>
      <c r="Z9" s="190"/>
      <c r="AA9" s="190"/>
      <c r="AB9" s="29" t="s">
        <v>30</v>
      </c>
      <c r="AC9" s="29" t="s">
        <v>31</v>
      </c>
      <c r="AD9" s="26"/>
    </row>
    <row r="10" spans="1:30" s="2" customFormat="1" ht="11.25" customHeight="1" x14ac:dyDescent="0.2">
      <c r="A10" s="185"/>
      <c r="B10" s="185"/>
      <c r="C10" s="185"/>
      <c r="D10" s="185"/>
      <c r="E10" s="185"/>
      <c r="F10" s="185"/>
      <c r="G10" s="185"/>
      <c r="H10" s="185"/>
      <c r="I10" s="185"/>
      <c r="J10" s="185"/>
      <c r="K10" s="185"/>
      <c r="L10" s="185"/>
      <c r="N10" s="187"/>
      <c r="O10" s="187"/>
      <c r="P10" s="187"/>
      <c r="Q10" s="186"/>
      <c r="R10" s="186"/>
      <c r="S10" s="186"/>
      <c r="T10" s="186"/>
      <c r="U10" s="26"/>
      <c r="V10" s="190"/>
      <c r="W10" s="190"/>
      <c r="X10" s="190"/>
      <c r="Y10" s="190"/>
      <c r="Z10" s="190"/>
      <c r="AA10" s="190"/>
      <c r="AB10" s="30" t="s">
        <v>106</v>
      </c>
      <c r="AC10" s="30"/>
      <c r="AD10" s="26"/>
    </row>
    <row r="11" spans="1:30" s="2" customFormat="1" ht="12.75" customHeight="1" x14ac:dyDescent="0.2">
      <c r="A11" s="185"/>
      <c r="B11" s="185"/>
      <c r="C11" s="185"/>
      <c r="D11" s="185"/>
      <c r="E11" s="185"/>
      <c r="F11" s="185"/>
      <c r="G11" s="185"/>
      <c r="H11" s="185"/>
      <c r="I11" s="185"/>
      <c r="J11" s="185"/>
      <c r="K11" s="185"/>
      <c r="L11" s="185"/>
      <c r="N11" s="187"/>
      <c r="O11" s="187"/>
      <c r="P11" s="187"/>
      <c r="Q11" s="186"/>
      <c r="R11" s="186"/>
      <c r="S11" s="186"/>
      <c r="T11" s="186"/>
      <c r="U11" s="26"/>
      <c r="V11" s="179" t="s">
        <v>34</v>
      </c>
      <c r="W11" s="180"/>
      <c r="X11" s="180"/>
      <c r="Y11" s="180"/>
      <c r="Z11" s="180"/>
      <c r="AA11" s="180"/>
      <c r="AB11" s="218">
        <v>7</v>
      </c>
      <c r="AC11" s="219"/>
      <c r="AD11" s="26"/>
    </row>
    <row r="12" spans="1:30" s="2" customFormat="1" ht="11.25" customHeight="1" x14ac:dyDescent="0.2">
      <c r="A12" s="175"/>
      <c r="B12" s="175"/>
      <c r="C12" s="175"/>
      <c r="D12" s="175"/>
      <c r="E12" s="175"/>
      <c r="F12" s="175"/>
      <c r="G12" s="175"/>
      <c r="H12" s="175"/>
      <c r="I12" s="175"/>
      <c r="J12" s="175"/>
      <c r="K12" s="175"/>
      <c r="L12" s="175"/>
      <c r="N12" s="176">
        <v>1</v>
      </c>
      <c r="O12" s="177" t="s">
        <v>41</v>
      </c>
      <c r="P12" s="177" t="s">
        <v>105</v>
      </c>
      <c r="Q12" s="31" t="s">
        <v>32</v>
      </c>
      <c r="R12" s="32">
        <v>0.7</v>
      </c>
      <c r="S12" s="32">
        <v>17</v>
      </c>
      <c r="T12" s="32">
        <f>R12*S12</f>
        <v>11.899999999999999</v>
      </c>
      <c r="U12" s="26"/>
      <c r="V12" s="180"/>
      <c r="W12" s="180"/>
      <c r="X12" s="180"/>
      <c r="Y12" s="180"/>
      <c r="Z12" s="180"/>
      <c r="AA12" s="180"/>
      <c r="AB12" s="220"/>
      <c r="AC12" s="221"/>
      <c r="AD12" s="26"/>
    </row>
    <row r="13" spans="1:30" s="2" customFormat="1" ht="11.25" customHeight="1" x14ac:dyDescent="0.2">
      <c r="A13" s="175"/>
      <c r="B13" s="175"/>
      <c r="C13" s="175"/>
      <c r="D13" s="175"/>
      <c r="E13" s="175"/>
      <c r="F13" s="175"/>
      <c r="G13" s="175"/>
      <c r="H13" s="175"/>
      <c r="I13" s="175"/>
      <c r="J13" s="175"/>
      <c r="K13" s="175"/>
      <c r="L13" s="175"/>
      <c r="N13" s="176"/>
      <c r="O13" s="178"/>
      <c r="P13" s="178"/>
      <c r="Q13" s="31" t="s">
        <v>33</v>
      </c>
      <c r="R13" s="32"/>
      <c r="S13" s="32"/>
      <c r="T13" s="32">
        <f t="shared" ref="T13:T49" si="0">R13*S13</f>
        <v>0</v>
      </c>
      <c r="U13" s="26"/>
      <c r="V13" s="179" t="s">
        <v>35</v>
      </c>
      <c r="W13" s="180"/>
      <c r="X13" s="180"/>
      <c r="Y13" s="180"/>
      <c r="Z13" s="180"/>
      <c r="AA13" s="180"/>
      <c r="AB13" s="181"/>
      <c r="AC13" s="182" t="s">
        <v>106</v>
      </c>
      <c r="AD13" s="26"/>
    </row>
    <row r="14" spans="1:30" s="2" customFormat="1" ht="11.25" customHeight="1" x14ac:dyDescent="0.2">
      <c r="A14" s="175"/>
      <c r="B14" s="175"/>
      <c r="C14" s="175"/>
      <c r="D14" s="175"/>
      <c r="E14" s="175"/>
      <c r="F14" s="175"/>
      <c r="G14" s="175"/>
      <c r="H14" s="175"/>
      <c r="I14" s="175"/>
      <c r="J14" s="175"/>
      <c r="K14" s="175"/>
      <c r="L14" s="175"/>
      <c r="N14" s="176">
        <v>2</v>
      </c>
      <c r="O14" s="177" t="s">
        <v>41</v>
      </c>
      <c r="P14" s="177" t="s">
        <v>43</v>
      </c>
      <c r="Q14" s="31" t="s">
        <v>32</v>
      </c>
      <c r="R14" s="32">
        <v>0.5</v>
      </c>
      <c r="S14" s="32">
        <v>4</v>
      </c>
      <c r="T14" s="32">
        <f t="shared" si="0"/>
        <v>2</v>
      </c>
      <c r="U14" s="26"/>
      <c r="V14" s="180"/>
      <c r="W14" s="180"/>
      <c r="X14" s="180"/>
      <c r="Y14" s="180"/>
      <c r="Z14" s="180"/>
      <c r="AA14" s="180"/>
      <c r="AB14" s="181"/>
      <c r="AC14" s="183"/>
      <c r="AD14" s="26"/>
    </row>
    <row r="15" spans="1:30" s="2" customFormat="1" ht="11.25" customHeight="1" x14ac:dyDescent="0.2">
      <c r="A15" s="175"/>
      <c r="B15" s="175"/>
      <c r="C15" s="175"/>
      <c r="D15" s="175"/>
      <c r="E15" s="175"/>
      <c r="F15" s="175"/>
      <c r="G15" s="175"/>
      <c r="H15" s="175"/>
      <c r="I15" s="175"/>
      <c r="J15" s="175"/>
      <c r="K15" s="175"/>
      <c r="L15" s="175"/>
      <c r="N15" s="176"/>
      <c r="O15" s="178"/>
      <c r="P15" s="178"/>
      <c r="Q15" s="31" t="s">
        <v>33</v>
      </c>
      <c r="R15" s="32"/>
      <c r="S15" s="32"/>
      <c r="T15" s="32">
        <f t="shared" si="0"/>
        <v>0</v>
      </c>
      <c r="U15" s="26"/>
      <c r="V15" s="26"/>
      <c r="W15" s="26"/>
      <c r="X15" s="26"/>
      <c r="Y15" s="26"/>
      <c r="Z15" s="26"/>
      <c r="AA15" s="26"/>
      <c r="AB15" s="26"/>
      <c r="AC15" s="26"/>
      <c r="AD15" s="26"/>
    </row>
    <row r="16" spans="1:30" s="2" customFormat="1" ht="11.25" customHeight="1" x14ac:dyDescent="0.2">
      <c r="A16" s="175"/>
      <c r="B16" s="175"/>
      <c r="C16" s="175"/>
      <c r="D16" s="175"/>
      <c r="E16" s="175"/>
      <c r="F16" s="175"/>
      <c r="G16" s="175"/>
      <c r="H16" s="175"/>
      <c r="I16" s="175"/>
      <c r="J16" s="175"/>
      <c r="K16" s="175"/>
      <c r="L16" s="175"/>
      <c r="N16" s="176">
        <v>3</v>
      </c>
      <c r="O16" s="177" t="s">
        <v>41</v>
      </c>
      <c r="P16" s="177" t="s">
        <v>44</v>
      </c>
      <c r="Q16" s="31" t="s">
        <v>32</v>
      </c>
      <c r="R16" s="32">
        <v>0.5</v>
      </c>
      <c r="S16" s="32">
        <v>4</v>
      </c>
      <c r="T16" s="32">
        <f t="shared" si="0"/>
        <v>2</v>
      </c>
      <c r="U16" s="26"/>
      <c r="V16" s="26"/>
      <c r="W16" s="26"/>
      <c r="X16" s="26"/>
      <c r="Y16" s="26"/>
      <c r="Z16" s="26"/>
      <c r="AA16" s="26"/>
      <c r="AB16" s="26"/>
      <c r="AC16" s="26"/>
      <c r="AD16" s="26"/>
    </row>
    <row r="17" spans="1:30" s="2" customFormat="1" ht="11.25" customHeight="1" x14ac:dyDescent="0.2">
      <c r="A17" s="175"/>
      <c r="B17" s="175"/>
      <c r="C17" s="175"/>
      <c r="D17" s="175"/>
      <c r="E17" s="175"/>
      <c r="F17" s="175"/>
      <c r="G17" s="175"/>
      <c r="H17" s="175"/>
      <c r="I17" s="175"/>
      <c r="J17" s="175"/>
      <c r="K17" s="175"/>
      <c r="L17" s="175"/>
      <c r="N17" s="176"/>
      <c r="O17" s="178"/>
      <c r="P17" s="178"/>
      <c r="Q17" s="31" t="s">
        <v>33</v>
      </c>
      <c r="R17" s="32"/>
      <c r="S17" s="32"/>
      <c r="T17" s="32">
        <f t="shared" si="0"/>
        <v>0</v>
      </c>
      <c r="U17" s="26"/>
      <c r="V17" s="191" t="s">
        <v>81</v>
      </c>
      <c r="W17" s="192" t="s">
        <v>95</v>
      </c>
      <c r="X17" s="193"/>
      <c r="Y17" s="193"/>
      <c r="Z17" s="193"/>
      <c r="AA17" s="194"/>
      <c r="AB17" s="198" t="s">
        <v>107</v>
      </c>
      <c r="AC17" s="198"/>
      <c r="AD17" s="26"/>
    </row>
    <row r="18" spans="1:30" s="2" customFormat="1" ht="11.25" customHeight="1" x14ac:dyDescent="0.2">
      <c r="A18" s="175"/>
      <c r="B18" s="175"/>
      <c r="C18" s="175"/>
      <c r="D18" s="175"/>
      <c r="E18" s="175"/>
      <c r="F18" s="175"/>
      <c r="G18" s="175"/>
      <c r="H18" s="175"/>
      <c r="I18" s="175"/>
      <c r="J18" s="175"/>
      <c r="K18" s="175"/>
      <c r="L18" s="175"/>
      <c r="N18" s="176">
        <v>4</v>
      </c>
      <c r="O18" s="177" t="s">
        <v>45</v>
      </c>
      <c r="P18" s="186" t="s">
        <v>46</v>
      </c>
      <c r="Q18" s="31" t="s">
        <v>32</v>
      </c>
      <c r="R18" s="32">
        <v>0.1</v>
      </c>
      <c r="S18" s="32">
        <v>23</v>
      </c>
      <c r="T18" s="32">
        <f t="shared" si="0"/>
        <v>2.3000000000000003</v>
      </c>
      <c r="U18" s="26"/>
      <c r="V18" s="191"/>
      <c r="W18" s="195"/>
      <c r="X18" s="196"/>
      <c r="Y18" s="196"/>
      <c r="Z18" s="196"/>
      <c r="AA18" s="197"/>
      <c r="AB18" s="198"/>
      <c r="AC18" s="198"/>
      <c r="AD18" s="26"/>
    </row>
    <row r="19" spans="1:30" s="2" customFormat="1" ht="11.25" customHeight="1" x14ac:dyDescent="0.2">
      <c r="A19" s="175"/>
      <c r="B19" s="175"/>
      <c r="C19" s="175"/>
      <c r="D19" s="175"/>
      <c r="E19" s="175"/>
      <c r="F19" s="175"/>
      <c r="G19" s="175"/>
      <c r="H19" s="175"/>
      <c r="I19" s="175"/>
      <c r="J19" s="175"/>
      <c r="K19" s="175"/>
      <c r="L19" s="175"/>
      <c r="N19" s="176"/>
      <c r="O19" s="178"/>
      <c r="P19" s="186"/>
      <c r="Q19" s="31" t="s">
        <v>33</v>
      </c>
      <c r="R19" s="32"/>
      <c r="S19" s="32"/>
      <c r="T19" s="32">
        <f t="shared" si="0"/>
        <v>0</v>
      </c>
      <c r="U19" s="26"/>
      <c r="V19" s="191"/>
      <c r="W19" s="179" t="s">
        <v>85</v>
      </c>
      <c r="X19" s="180"/>
      <c r="Y19" s="180"/>
      <c r="Z19" s="180"/>
      <c r="AA19" s="180"/>
      <c r="AB19" s="199">
        <v>42947</v>
      </c>
      <c r="AC19" s="188"/>
      <c r="AD19" s="26"/>
    </row>
    <row r="20" spans="1:30" s="2" customFormat="1" ht="11.25" customHeight="1" x14ac:dyDescent="0.2">
      <c r="A20" s="175"/>
      <c r="B20" s="175"/>
      <c r="C20" s="175"/>
      <c r="D20" s="175"/>
      <c r="E20" s="175"/>
      <c r="F20" s="175"/>
      <c r="G20" s="175"/>
      <c r="H20" s="175"/>
      <c r="I20" s="175"/>
      <c r="J20" s="175"/>
      <c r="K20" s="175"/>
      <c r="L20" s="175"/>
      <c r="N20" s="176">
        <v>5</v>
      </c>
      <c r="O20" s="177" t="s">
        <v>47</v>
      </c>
      <c r="P20" s="186" t="s">
        <v>48</v>
      </c>
      <c r="Q20" s="31" t="s">
        <v>32</v>
      </c>
      <c r="R20" s="32">
        <v>0.1</v>
      </c>
      <c r="S20" s="32">
        <v>6</v>
      </c>
      <c r="T20" s="32">
        <f t="shared" si="0"/>
        <v>0.60000000000000009</v>
      </c>
      <c r="U20" s="26"/>
      <c r="V20" s="191"/>
      <c r="W20" s="180"/>
      <c r="X20" s="180"/>
      <c r="Y20" s="180"/>
      <c r="Z20" s="180"/>
      <c r="AA20" s="180"/>
      <c r="AB20" s="188"/>
      <c r="AC20" s="188"/>
      <c r="AD20" s="26"/>
    </row>
    <row r="21" spans="1:30" s="2" customFormat="1" ht="11.25" customHeight="1" x14ac:dyDescent="0.2">
      <c r="A21" s="175"/>
      <c r="B21" s="175"/>
      <c r="C21" s="175"/>
      <c r="D21" s="175"/>
      <c r="E21" s="175"/>
      <c r="F21" s="175"/>
      <c r="G21" s="175"/>
      <c r="H21" s="175"/>
      <c r="I21" s="175"/>
      <c r="J21" s="175"/>
      <c r="K21" s="175"/>
      <c r="L21" s="175"/>
      <c r="N21" s="176"/>
      <c r="O21" s="178"/>
      <c r="P21" s="186"/>
      <c r="Q21" s="31" t="s">
        <v>33</v>
      </c>
      <c r="R21" s="32"/>
      <c r="S21" s="32"/>
      <c r="T21" s="32">
        <f t="shared" si="0"/>
        <v>0</v>
      </c>
      <c r="U21" s="26"/>
      <c r="V21" s="191"/>
      <c r="W21" s="179" t="s">
        <v>82</v>
      </c>
      <c r="X21" s="180"/>
      <c r="Y21" s="180"/>
      <c r="Z21" s="180"/>
      <c r="AA21" s="180"/>
      <c r="AB21" s="188">
        <v>10</v>
      </c>
      <c r="AC21" s="188"/>
      <c r="AD21" s="26"/>
    </row>
    <row r="22" spans="1:30" s="2" customFormat="1" ht="11.25" customHeight="1" x14ac:dyDescent="0.2">
      <c r="A22" s="175"/>
      <c r="B22" s="175"/>
      <c r="C22" s="175"/>
      <c r="D22" s="175"/>
      <c r="E22" s="175"/>
      <c r="F22" s="175"/>
      <c r="G22" s="175"/>
      <c r="H22" s="175"/>
      <c r="I22" s="175"/>
      <c r="J22" s="175"/>
      <c r="K22" s="175"/>
      <c r="L22" s="175"/>
      <c r="N22" s="176">
        <v>6</v>
      </c>
      <c r="O22" s="177" t="s">
        <v>49</v>
      </c>
      <c r="P22" s="186" t="s">
        <v>50</v>
      </c>
      <c r="Q22" s="31" t="s">
        <v>32</v>
      </c>
      <c r="R22" s="32">
        <v>0.1</v>
      </c>
      <c r="S22" s="32">
        <v>5</v>
      </c>
      <c r="T22" s="32">
        <f t="shared" si="0"/>
        <v>0.5</v>
      </c>
      <c r="U22" s="26"/>
      <c r="V22" s="191"/>
      <c r="W22" s="180"/>
      <c r="X22" s="180"/>
      <c r="Y22" s="180"/>
      <c r="Z22" s="180"/>
      <c r="AA22" s="180"/>
      <c r="AB22" s="188"/>
      <c r="AC22" s="188"/>
      <c r="AD22" s="26"/>
    </row>
    <row r="23" spans="1:30" s="2" customFormat="1" ht="11.25" customHeight="1" x14ac:dyDescent="0.2">
      <c r="A23" s="175"/>
      <c r="B23" s="175"/>
      <c r="C23" s="175"/>
      <c r="D23" s="175"/>
      <c r="E23" s="175"/>
      <c r="F23" s="175"/>
      <c r="G23" s="175"/>
      <c r="H23" s="175"/>
      <c r="I23" s="175"/>
      <c r="J23" s="175"/>
      <c r="K23" s="175"/>
      <c r="L23" s="175"/>
      <c r="N23" s="176"/>
      <c r="O23" s="178"/>
      <c r="P23" s="186"/>
      <c r="Q23" s="31" t="s">
        <v>33</v>
      </c>
      <c r="R23" s="32"/>
      <c r="S23" s="32"/>
      <c r="T23" s="32">
        <f t="shared" si="0"/>
        <v>0</v>
      </c>
      <c r="U23" s="26"/>
      <c r="V23" s="191"/>
      <c r="W23" s="179" t="s">
        <v>86</v>
      </c>
      <c r="X23" s="180"/>
      <c r="Y23" s="180"/>
      <c r="Z23" s="180"/>
      <c r="AA23" s="180"/>
      <c r="AB23" s="188"/>
      <c r="AC23" s="188"/>
      <c r="AD23" s="26"/>
    </row>
    <row r="24" spans="1:30" s="2" customFormat="1" ht="11.25" customHeight="1" x14ac:dyDescent="0.2">
      <c r="A24" s="175"/>
      <c r="B24" s="175"/>
      <c r="C24" s="175"/>
      <c r="D24" s="175"/>
      <c r="E24" s="175"/>
      <c r="F24" s="175"/>
      <c r="G24" s="175"/>
      <c r="H24" s="175"/>
      <c r="I24" s="175"/>
      <c r="J24" s="175"/>
      <c r="K24" s="175"/>
      <c r="L24" s="175"/>
      <c r="N24" s="176">
        <v>7</v>
      </c>
      <c r="O24" s="177" t="s">
        <v>56</v>
      </c>
      <c r="P24" s="186" t="s">
        <v>57</v>
      </c>
      <c r="Q24" s="31" t="s">
        <v>32</v>
      </c>
      <c r="R24" s="32">
        <v>1.5</v>
      </c>
      <c r="S24" s="32">
        <v>1</v>
      </c>
      <c r="T24" s="32">
        <f t="shared" si="0"/>
        <v>1.5</v>
      </c>
      <c r="U24" s="26"/>
      <c r="V24" s="191"/>
      <c r="W24" s="180"/>
      <c r="X24" s="180"/>
      <c r="Y24" s="180"/>
      <c r="Z24" s="180"/>
      <c r="AA24" s="180"/>
      <c r="AB24" s="188"/>
      <c r="AC24" s="188"/>
      <c r="AD24" s="26"/>
    </row>
    <row r="25" spans="1:30" s="2" customFormat="1" ht="11.25" customHeight="1" x14ac:dyDescent="0.2">
      <c r="A25" s="175"/>
      <c r="B25" s="175"/>
      <c r="C25" s="175"/>
      <c r="D25" s="175"/>
      <c r="E25" s="175"/>
      <c r="F25" s="175"/>
      <c r="G25" s="175"/>
      <c r="H25" s="175"/>
      <c r="I25" s="175"/>
      <c r="J25" s="175"/>
      <c r="K25" s="175"/>
      <c r="L25" s="175"/>
      <c r="N25" s="176"/>
      <c r="O25" s="178"/>
      <c r="P25" s="186"/>
      <c r="Q25" s="31" t="s">
        <v>33</v>
      </c>
      <c r="R25" s="32"/>
      <c r="S25" s="32"/>
      <c r="T25" s="32">
        <f t="shared" si="0"/>
        <v>0</v>
      </c>
      <c r="U25" s="26"/>
      <c r="V25" s="191"/>
      <c r="W25" s="190" t="s">
        <v>36</v>
      </c>
      <c r="X25" s="190"/>
      <c r="Y25" s="190"/>
      <c r="Z25" s="190"/>
      <c r="AA25" s="190"/>
      <c r="AB25" s="205">
        <v>42917</v>
      </c>
      <c r="AC25" s="188"/>
      <c r="AD25" s="26"/>
    </row>
    <row r="26" spans="1:30" s="2" customFormat="1" ht="11.25" customHeight="1" x14ac:dyDescent="0.2">
      <c r="A26" s="175"/>
      <c r="B26" s="175"/>
      <c r="C26" s="175"/>
      <c r="D26" s="175"/>
      <c r="E26" s="175"/>
      <c r="F26" s="175"/>
      <c r="G26" s="175"/>
      <c r="H26" s="175"/>
      <c r="I26" s="175"/>
      <c r="J26" s="175"/>
      <c r="K26" s="175"/>
      <c r="L26" s="175"/>
      <c r="N26" s="176">
        <v>8</v>
      </c>
      <c r="O26" s="186" t="s">
        <v>51</v>
      </c>
      <c r="P26" s="186" t="s">
        <v>52</v>
      </c>
      <c r="Q26" s="31" t="s">
        <v>32</v>
      </c>
      <c r="R26" s="32">
        <v>1.4</v>
      </c>
      <c r="S26" s="32">
        <v>4</v>
      </c>
      <c r="T26" s="32">
        <f t="shared" si="0"/>
        <v>5.6</v>
      </c>
      <c r="U26" s="26"/>
      <c r="V26" s="191"/>
      <c r="W26" s="190"/>
      <c r="X26" s="190"/>
      <c r="Y26" s="190"/>
      <c r="Z26" s="190"/>
      <c r="AA26" s="190"/>
      <c r="AB26" s="188"/>
      <c r="AC26" s="188"/>
      <c r="AD26" s="26"/>
    </row>
    <row r="27" spans="1:30" s="2" customFormat="1" ht="11.25" customHeight="1" x14ac:dyDescent="0.2">
      <c r="A27" s="175"/>
      <c r="B27" s="175"/>
      <c r="C27" s="175"/>
      <c r="D27" s="175"/>
      <c r="E27" s="175"/>
      <c r="F27" s="175"/>
      <c r="G27" s="175"/>
      <c r="H27" s="175"/>
      <c r="I27" s="175"/>
      <c r="J27" s="175"/>
      <c r="K27" s="175"/>
      <c r="L27" s="175"/>
      <c r="N27" s="176"/>
      <c r="O27" s="186"/>
      <c r="P27" s="186"/>
      <c r="Q27" s="31" t="s">
        <v>33</v>
      </c>
      <c r="R27" s="32"/>
      <c r="S27" s="32"/>
      <c r="T27" s="32">
        <f t="shared" si="0"/>
        <v>0</v>
      </c>
      <c r="U27" s="26"/>
      <c r="V27" s="191"/>
      <c r="W27" s="189" t="s">
        <v>87</v>
      </c>
      <c r="X27" s="190"/>
      <c r="Y27" s="190"/>
      <c r="Z27" s="190"/>
      <c r="AA27" s="190"/>
      <c r="AB27" s="188"/>
      <c r="AC27" s="188"/>
      <c r="AD27" s="26"/>
    </row>
    <row r="28" spans="1:30" s="2" customFormat="1" ht="11.25" customHeight="1" x14ac:dyDescent="0.2">
      <c r="A28" s="175"/>
      <c r="B28" s="175"/>
      <c r="C28" s="175"/>
      <c r="D28" s="175"/>
      <c r="E28" s="175"/>
      <c r="F28" s="175"/>
      <c r="G28" s="175"/>
      <c r="H28" s="175"/>
      <c r="I28" s="175"/>
      <c r="J28" s="175"/>
      <c r="K28" s="175"/>
      <c r="L28" s="175"/>
      <c r="N28" s="176">
        <v>9</v>
      </c>
      <c r="O28" s="186" t="s">
        <v>55</v>
      </c>
      <c r="P28" s="186" t="s">
        <v>53</v>
      </c>
      <c r="Q28" s="31" t="s">
        <v>32</v>
      </c>
      <c r="R28" s="32"/>
      <c r="S28" s="32"/>
      <c r="T28" s="32">
        <v>5.6</v>
      </c>
      <c r="U28" s="26"/>
      <c r="V28" s="191"/>
      <c r="W28" s="190"/>
      <c r="X28" s="190"/>
      <c r="Y28" s="190"/>
      <c r="Z28" s="190"/>
      <c r="AA28" s="190"/>
      <c r="AB28" s="188"/>
      <c r="AC28" s="188"/>
      <c r="AD28" s="26"/>
    </row>
    <row r="29" spans="1:30" s="2" customFormat="1" ht="11.25" customHeight="1" x14ac:dyDescent="0.2">
      <c r="A29" s="175"/>
      <c r="B29" s="175"/>
      <c r="C29" s="175"/>
      <c r="D29" s="175"/>
      <c r="E29" s="175"/>
      <c r="F29" s="175"/>
      <c r="G29" s="175"/>
      <c r="H29" s="175"/>
      <c r="I29" s="175"/>
      <c r="J29" s="175"/>
      <c r="K29" s="175"/>
      <c r="L29" s="175"/>
      <c r="N29" s="176"/>
      <c r="O29" s="186"/>
      <c r="P29" s="186"/>
      <c r="Q29" s="31" t="s">
        <v>33</v>
      </c>
      <c r="R29" s="32"/>
      <c r="S29" s="32"/>
      <c r="T29" s="32">
        <f t="shared" si="0"/>
        <v>0</v>
      </c>
      <c r="U29" s="26"/>
      <c r="AB29" s="28"/>
      <c r="AC29" s="28"/>
      <c r="AD29" s="26"/>
    </row>
    <row r="30" spans="1:30" s="2" customFormat="1" ht="11.25" customHeight="1" x14ac:dyDescent="0.2">
      <c r="A30" s="175"/>
      <c r="B30" s="175"/>
      <c r="C30" s="175"/>
      <c r="D30" s="175"/>
      <c r="E30" s="175"/>
      <c r="F30" s="175"/>
      <c r="G30" s="175"/>
      <c r="H30" s="175"/>
      <c r="I30" s="175"/>
      <c r="J30" s="175"/>
      <c r="K30" s="175"/>
      <c r="L30" s="175"/>
      <c r="N30" s="176">
        <v>10</v>
      </c>
      <c r="O30" s="186" t="s">
        <v>54</v>
      </c>
      <c r="P30" s="186">
        <v>104</v>
      </c>
      <c r="Q30" s="31" t="s">
        <v>32</v>
      </c>
      <c r="R30" s="32"/>
      <c r="S30" s="32"/>
      <c r="T30" s="32">
        <v>4.5999999999999996</v>
      </c>
      <c r="U30" s="26"/>
      <c r="AB30" s="28"/>
      <c r="AC30" s="28"/>
      <c r="AD30" s="26"/>
    </row>
    <row r="31" spans="1:30" s="2" customFormat="1" ht="11.25" customHeight="1" x14ac:dyDescent="0.2">
      <c r="A31" s="175"/>
      <c r="B31" s="175"/>
      <c r="C31" s="175"/>
      <c r="D31" s="175"/>
      <c r="E31" s="175"/>
      <c r="F31" s="175"/>
      <c r="G31" s="175"/>
      <c r="H31" s="175"/>
      <c r="I31" s="175"/>
      <c r="J31" s="175"/>
      <c r="K31" s="175"/>
      <c r="L31" s="175"/>
      <c r="N31" s="176"/>
      <c r="O31" s="186"/>
      <c r="P31" s="186"/>
      <c r="Q31" s="31" t="s">
        <v>33</v>
      </c>
      <c r="R31" s="32"/>
      <c r="S31" s="32"/>
      <c r="T31" s="32">
        <f t="shared" si="0"/>
        <v>0</v>
      </c>
      <c r="U31" s="26"/>
      <c r="V31" s="200" t="s">
        <v>37</v>
      </c>
      <c r="W31" s="203" t="s">
        <v>96</v>
      </c>
      <c r="X31" s="204"/>
      <c r="Y31" s="204"/>
      <c r="Z31" s="204"/>
      <c r="AA31" s="204"/>
      <c r="AB31" s="187" t="s">
        <v>108</v>
      </c>
      <c r="AC31" s="187"/>
      <c r="AD31" s="26"/>
    </row>
    <row r="32" spans="1:30" s="2" customFormat="1" ht="11.25" customHeight="1" x14ac:dyDescent="0.2">
      <c r="A32" s="175"/>
      <c r="B32" s="175"/>
      <c r="C32" s="175"/>
      <c r="D32" s="175"/>
      <c r="E32" s="175"/>
      <c r="F32" s="175"/>
      <c r="G32" s="175"/>
      <c r="H32" s="175"/>
      <c r="I32" s="175"/>
      <c r="J32" s="175"/>
      <c r="K32" s="175"/>
      <c r="L32" s="175"/>
      <c r="N32" s="176">
        <v>11</v>
      </c>
      <c r="O32" s="186" t="s">
        <v>54</v>
      </c>
      <c r="P32" s="186">
        <v>90</v>
      </c>
      <c r="Q32" s="31" t="s">
        <v>32</v>
      </c>
      <c r="R32" s="32"/>
      <c r="S32" s="32"/>
      <c r="T32" s="32">
        <v>2</v>
      </c>
      <c r="U32" s="26"/>
      <c r="V32" s="201"/>
      <c r="W32" s="204"/>
      <c r="X32" s="204"/>
      <c r="Y32" s="204"/>
      <c r="Z32" s="204"/>
      <c r="AA32" s="204"/>
      <c r="AB32" s="187"/>
      <c r="AC32" s="187"/>
      <c r="AD32" s="26"/>
    </row>
    <row r="33" spans="1:30" s="2" customFormat="1" ht="11.25" customHeight="1" x14ac:dyDescent="0.2">
      <c r="A33" s="175"/>
      <c r="B33" s="175"/>
      <c r="C33" s="175"/>
      <c r="D33" s="175"/>
      <c r="E33" s="175"/>
      <c r="F33" s="175"/>
      <c r="G33" s="175"/>
      <c r="H33" s="175"/>
      <c r="I33" s="175"/>
      <c r="J33" s="175"/>
      <c r="K33" s="175"/>
      <c r="L33" s="175"/>
      <c r="N33" s="176"/>
      <c r="O33" s="186"/>
      <c r="P33" s="186"/>
      <c r="Q33" s="31" t="s">
        <v>33</v>
      </c>
      <c r="R33" s="32"/>
      <c r="S33" s="32"/>
      <c r="T33" s="32">
        <f t="shared" si="0"/>
        <v>0</v>
      </c>
      <c r="U33" s="26"/>
      <c r="V33" s="201"/>
      <c r="W33" s="203" t="s">
        <v>88</v>
      </c>
      <c r="X33" s="204"/>
      <c r="Y33" s="204"/>
      <c r="Z33" s="204"/>
      <c r="AA33" s="204"/>
      <c r="AB33" s="206">
        <v>42917</v>
      </c>
      <c r="AC33" s="187"/>
      <c r="AD33" s="26"/>
    </row>
    <row r="34" spans="1:30" s="2" customFormat="1" ht="11.25" customHeight="1" x14ac:dyDescent="0.2">
      <c r="A34" s="175"/>
      <c r="B34" s="175"/>
      <c r="C34" s="175"/>
      <c r="D34" s="175"/>
      <c r="E34" s="175"/>
      <c r="F34" s="175"/>
      <c r="G34" s="175"/>
      <c r="H34" s="175"/>
      <c r="I34" s="175"/>
      <c r="J34" s="175"/>
      <c r="K34" s="175"/>
      <c r="L34" s="175"/>
      <c r="N34" s="176">
        <v>12</v>
      </c>
      <c r="O34" s="186" t="s">
        <v>54</v>
      </c>
      <c r="P34" s="186">
        <v>44</v>
      </c>
      <c r="Q34" s="31" t="s">
        <v>32</v>
      </c>
      <c r="R34" s="32"/>
      <c r="S34" s="32"/>
      <c r="T34" s="32">
        <v>1.9</v>
      </c>
      <c r="U34" s="26"/>
      <c r="V34" s="201"/>
      <c r="W34" s="204"/>
      <c r="X34" s="204"/>
      <c r="Y34" s="204"/>
      <c r="Z34" s="204"/>
      <c r="AA34" s="204"/>
      <c r="AB34" s="187"/>
      <c r="AC34" s="187"/>
      <c r="AD34" s="26"/>
    </row>
    <row r="35" spans="1:30" s="2" customFormat="1" ht="11.25" customHeight="1" x14ac:dyDescent="0.2">
      <c r="N35" s="176"/>
      <c r="O35" s="186"/>
      <c r="P35" s="186"/>
      <c r="Q35" s="31" t="s">
        <v>33</v>
      </c>
      <c r="R35" s="32"/>
      <c r="S35" s="32"/>
      <c r="T35" s="32">
        <f t="shared" si="0"/>
        <v>0</v>
      </c>
      <c r="U35" s="26"/>
      <c r="V35" s="201"/>
      <c r="W35" s="203" t="s">
        <v>89</v>
      </c>
      <c r="X35" s="204"/>
      <c r="Y35" s="204"/>
      <c r="Z35" s="204"/>
      <c r="AA35" s="204"/>
      <c r="AB35" s="206">
        <v>42947</v>
      </c>
      <c r="AC35" s="187"/>
      <c r="AD35" s="26"/>
    </row>
    <row r="36" spans="1:30" s="2" customFormat="1" ht="11.25" customHeight="1" x14ac:dyDescent="0.2">
      <c r="A36" s="207" t="s">
        <v>98</v>
      </c>
      <c r="B36" s="207"/>
      <c r="C36" s="207"/>
      <c r="D36" s="207"/>
      <c r="E36" s="207"/>
      <c r="F36" s="207"/>
      <c r="G36" s="207"/>
      <c r="H36" s="207"/>
      <c r="I36" s="207"/>
      <c r="J36" s="207"/>
      <c r="K36" s="207"/>
      <c r="L36" s="207"/>
      <c r="N36" s="176">
        <v>13</v>
      </c>
      <c r="O36" s="186" t="s">
        <v>54</v>
      </c>
      <c r="P36" s="186">
        <v>31</v>
      </c>
      <c r="Q36" s="31" t="s">
        <v>32</v>
      </c>
      <c r="R36" s="32"/>
      <c r="S36" s="32"/>
      <c r="T36" s="32">
        <v>1.4</v>
      </c>
      <c r="U36" s="26"/>
      <c r="V36" s="201"/>
      <c r="W36" s="204"/>
      <c r="X36" s="204"/>
      <c r="Y36" s="204"/>
      <c r="Z36" s="204"/>
      <c r="AA36" s="204"/>
      <c r="AB36" s="187"/>
      <c r="AC36" s="187"/>
      <c r="AD36" s="26"/>
    </row>
    <row r="37" spans="1:30" s="2" customFormat="1" ht="11.25" customHeight="1" x14ac:dyDescent="0.2">
      <c r="A37" s="207"/>
      <c r="B37" s="207"/>
      <c r="C37" s="207"/>
      <c r="D37" s="207"/>
      <c r="E37" s="207"/>
      <c r="F37" s="207"/>
      <c r="G37" s="207"/>
      <c r="H37" s="207"/>
      <c r="I37" s="207"/>
      <c r="J37" s="207"/>
      <c r="K37" s="207"/>
      <c r="L37" s="207"/>
      <c r="N37" s="176"/>
      <c r="O37" s="186"/>
      <c r="P37" s="186"/>
      <c r="Q37" s="31" t="s">
        <v>33</v>
      </c>
      <c r="R37" s="32"/>
      <c r="S37" s="32"/>
      <c r="T37" s="32">
        <f t="shared" si="0"/>
        <v>0</v>
      </c>
      <c r="U37" s="26"/>
      <c r="V37" s="201"/>
      <c r="W37" s="203" t="s">
        <v>90</v>
      </c>
      <c r="X37" s="204"/>
      <c r="Y37" s="204"/>
      <c r="Z37" s="204"/>
      <c r="AA37" s="204"/>
      <c r="AB37" s="206"/>
      <c r="AC37" s="187"/>
      <c r="AD37" s="26"/>
    </row>
    <row r="38" spans="1:30" s="2" customFormat="1" ht="11.25" customHeight="1" x14ac:dyDescent="0.2">
      <c r="A38" s="207"/>
      <c r="B38" s="207"/>
      <c r="C38" s="207"/>
      <c r="D38" s="207"/>
      <c r="E38" s="207"/>
      <c r="F38" s="207"/>
      <c r="G38" s="207"/>
      <c r="H38" s="207"/>
      <c r="I38" s="207"/>
      <c r="J38" s="207"/>
      <c r="K38" s="207"/>
      <c r="L38" s="207"/>
      <c r="N38" s="176">
        <v>14</v>
      </c>
      <c r="O38" s="186" t="s">
        <v>54</v>
      </c>
      <c r="P38" s="186">
        <v>30</v>
      </c>
      <c r="Q38" s="31" t="s">
        <v>32</v>
      </c>
      <c r="R38" s="32"/>
      <c r="S38" s="32"/>
      <c r="T38" s="32">
        <v>1.7</v>
      </c>
      <c r="U38" s="26"/>
      <c r="V38" s="202"/>
      <c r="W38" s="204"/>
      <c r="X38" s="204"/>
      <c r="Y38" s="204"/>
      <c r="Z38" s="204"/>
      <c r="AA38" s="204"/>
      <c r="AB38" s="187"/>
      <c r="AC38" s="187"/>
      <c r="AD38" s="26"/>
    </row>
    <row r="39" spans="1:30" s="2" customFormat="1" ht="11.25" customHeight="1" x14ac:dyDescent="0.2">
      <c r="A39" s="207"/>
      <c r="B39" s="207"/>
      <c r="C39" s="207"/>
      <c r="D39" s="207"/>
      <c r="E39" s="207"/>
      <c r="F39" s="207"/>
      <c r="G39" s="207"/>
      <c r="H39" s="207"/>
      <c r="I39" s="207"/>
      <c r="J39" s="207"/>
      <c r="K39" s="207"/>
      <c r="L39" s="207"/>
      <c r="N39" s="176"/>
      <c r="O39" s="186"/>
      <c r="P39" s="186"/>
      <c r="Q39" s="31" t="s">
        <v>33</v>
      </c>
      <c r="R39" s="32"/>
      <c r="S39" s="32"/>
      <c r="T39" s="32">
        <f t="shared" si="0"/>
        <v>0</v>
      </c>
      <c r="U39" s="26"/>
      <c r="AD39" s="26"/>
    </row>
    <row r="40" spans="1:30" s="2" customFormat="1" ht="11.25" customHeight="1" x14ac:dyDescent="0.2">
      <c r="A40" s="207"/>
      <c r="B40" s="207"/>
      <c r="C40" s="207"/>
      <c r="D40" s="207"/>
      <c r="E40" s="207"/>
      <c r="F40" s="207"/>
      <c r="G40" s="207"/>
      <c r="H40" s="207"/>
      <c r="I40" s="207"/>
      <c r="J40" s="207"/>
      <c r="K40" s="207"/>
      <c r="L40" s="207"/>
      <c r="N40" s="176">
        <v>15</v>
      </c>
      <c r="O40" s="176"/>
      <c r="P40" s="186"/>
      <c r="Q40" s="31" t="s">
        <v>32</v>
      </c>
      <c r="R40" s="32"/>
      <c r="S40" s="32"/>
      <c r="T40" s="32">
        <f t="shared" si="0"/>
        <v>0</v>
      </c>
      <c r="U40" s="26"/>
      <c r="AD40" s="26"/>
    </row>
    <row r="41" spans="1:30" s="2" customFormat="1" ht="11.25" customHeight="1" x14ac:dyDescent="0.2">
      <c r="A41" s="25" t="s">
        <v>97</v>
      </c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N41" s="176"/>
      <c r="O41" s="176"/>
      <c r="P41" s="186"/>
      <c r="Q41" s="31" t="s">
        <v>33</v>
      </c>
      <c r="R41" s="32"/>
      <c r="S41" s="32"/>
      <c r="T41" s="32">
        <f t="shared" si="0"/>
        <v>0</v>
      </c>
      <c r="U41" s="26"/>
      <c r="AD41" s="26"/>
    </row>
    <row r="42" spans="1:30" s="2" customFormat="1" ht="11.25" customHeight="1" x14ac:dyDescent="0.2">
      <c r="A42" s="25" t="s">
        <v>92</v>
      </c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N42" s="176">
        <v>16</v>
      </c>
      <c r="O42" s="176"/>
      <c r="P42" s="186"/>
      <c r="Q42" s="31" t="s">
        <v>32</v>
      </c>
      <c r="R42" s="32"/>
      <c r="S42" s="32"/>
      <c r="T42" s="32">
        <f t="shared" si="0"/>
        <v>0</v>
      </c>
      <c r="U42" s="26"/>
      <c r="AD42" s="26"/>
    </row>
    <row r="43" spans="1:30" s="2" customFormat="1" ht="11.25" customHeight="1" x14ac:dyDescent="0.2">
      <c r="A43" s="25" t="s">
        <v>93</v>
      </c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N43" s="176"/>
      <c r="O43" s="176"/>
      <c r="P43" s="186"/>
      <c r="Q43" s="31" t="s">
        <v>33</v>
      </c>
      <c r="R43" s="32"/>
      <c r="S43" s="32"/>
      <c r="T43" s="32">
        <f t="shared" si="0"/>
        <v>0</v>
      </c>
      <c r="U43" s="26"/>
      <c r="AD43" s="26"/>
    </row>
    <row r="44" spans="1:30" s="2" customFormat="1" ht="11.25" customHeight="1" x14ac:dyDescent="0.2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N44" s="176">
        <v>17</v>
      </c>
      <c r="O44" s="176"/>
      <c r="P44" s="176"/>
      <c r="Q44" s="31" t="s">
        <v>32</v>
      </c>
      <c r="R44" s="32"/>
      <c r="S44" s="32"/>
      <c r="T44" s="32">
        <f t="shared" si="0"/>
        <v>0</v>
      </c>
      <c r="U44" s="26"/>
      <c r="AD44" s="26"/>
    </row>
    <row r="45" spans="1:30" s="2" customFormat="1" ht="11.25" customHeight="1" x14ac:dyDescent="0.2">
      <c r="A45" s="25" t="s">
        <v>102</v>
      </c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N45" s="176"/>
      <c r="O45" s="176"/>
      <c r="P45" s="176"/>
      <c r="Q45" s="31" t="s">
        <v>33</v>
      </c>
      <c r="R45" s="32"/>
      <c r="S45" s="32"/>
      <c r="T45" s="32">
        <f t="shared" si="0"/>
        <v>0</v>
      </c>
      <c r="U45" s="26"/>
      <c r="AD45" s="26"/>
    </row>
    <row r="46" spans="1:30" s="2" customFormat="1" ht="11.25" customHeight="1" x14ac:dyDescent="0.2">
      <c r="A46" s="208" t="s">
        <v>103</v>
      </c>
      <c r="B46" s="208"/>
      <c r="C46" s="208"/>
      <c r="D46" s="208"/>
      <c r="E46" s="208"/>
      <c r="F46" s="208"/>
      <c r="G46" s="208"/>
      <c r="H46" s="208"/>
      <c r="I46" s="208"/>
      <c r="J46" s="208"/>
      <c r="K46" s="208"/>
      <c r="L46" s="208"/>
      <c r="N46" s="176">
        <v>18</v>
      </c>
      <c r="O46" s="176"/>
      <c r="P46" s="176"/>
      <c r="Q46" s="31" t="s">
        <v>32</v>
      </c>
      <c r="R46" s="32"/>
      <c r="S46" s="32"/>
      <c r="T46" s="32">
        <f t="shared" si="0"/>
        <v>0</v>
      </c>
      <c r="U46" s="26"/>
      <c r="V46" s="26"/>
      <c r="W46" s="26"/>
      <c r="X46" s="26"/>
      <c r="Y46" s="26"/>
      <c r="Z46" s="26"/>
      <c r="AA46" s="26"/>
      <c r="AB46" s="26"/>
      <c r="AC46" s="26"/>
      <c r="AD46" s="26"/>
    </row>
    <row r="47" spans="1:30" s="2" customFormat="1" ht="11.25" customHeight="1" x14ac:dyDescent="0.25">
      <c r="A47" s="208" t="s">
        <v>99</v>
      </c>
      <c r="B47" s="209"/>
      <c r="C47" s="209"/>
      <c r="D47" s="209"/>
      <c r="E47" s="209"/>
      <c r="F47" s="209"/>
      <c r="G47" s="209"/>
      <c r="H47" s="209"/>
      <c r="I47" s="209"/>
      <c r="J47" s="209"/>
      <c r="K47" s="209"/>
      <c r="L47" s="209"/>
      <c r="N47" s="176"/>
      <c r="O47" s="176"/>
      <c r="P47" s="176"/>
      <c r="Q47" s="31" t="s">
        <v>33</v>
      </c>
      <c r="R47" s="32"/>
      <c r="S47" s="32"/>
      <c r="T47" s="32">
        <f t="shared" si="0"/>
        <v>0</v>
      </c>
      <c r="U47" s="26"/>
      <c r="V47" s="26"/>
      <c r="W47" s="26"/>
      <c r="X47" s="26"/>
      <c r="Y47" s="26"/>
      <c r="Z47" s="26"/>
      <c r="AA47" s="26"/>
      <c r="AB47" s="26"/>
      <c r="AC47" s="26"/>
      <c r="AD47" s="26"/>
    </row>
    <row r="48" spans="1:30" s="2" customFormat="1" ht="11.25" customHeight="1" x14ac:dyDescent="0.25">
      <c r="A48" s="208" t="s">
        <v>104</v>
      </c>
      <c r="B48" s="209"/>
      <c r="C48" s="209"/>
      <c r="D48" s="209"/>
      <c r="E48" s="209"/>
      <c r="F48" s="209"/>
      <c r="G48" s="209"/>
      <c r="H48" s="209"/>
      <c r="I48" s="209"/>
      <c r="J48" s="209"/>
      <c r="K48" s="209"/>
      <c r="L48" s="209"/>
      <c r="N48" s="176">
        <v>19</v>
      </c>
      <c r="O48" s="176"/>
      <c r="P48" s="176"/>
      <c r="Q48" s="31" t="s">
        <v>32</v>
      </c>
      <c r="R48" s="32"/>
      <c r="S48" s="32"/>
      <c r="T48" s="32">
        <f t="shared" si="0"/>
        <v>0</v>
      </c>
      <c r="U48" s="26"/>
      <c r="V48" s="26"/>
      <c r="W48" s="26"/>
      <c r="X48" s="26"/>
      <c r="Y48" s="26"/>
      <c r="Z48" s="26"/>
      <c r="AA48" s="26"/>
      <c r="AB48" s="26"/>
      <c r="AC48" s="26"/>
      <c r="AD48" s="26"/>
    </row>
    <row r="49" spans="1:30" s="2" customFormat="1" ht="11.25" customHeight="1" x14ac:dyDescent="0.25">
      <c r="A49" s="208" t="s">
        <v>101</v>
      </c>
      <c r="B49" s="209"/>
      <c r="C49" s="209"/>
      <c r="D49" s="209"/>
      <c r="E49" s="209"/>
      <c r="F49" s="209"/>
      <c r="G49" s="209"/>
      <c r="H49" s="209"/>
      <c r="I49" s="209"/>
      <c r="J49" s="209"/>
      <c r="K49" s="209"/>
      <c r="L49" s="209"/>
      <c r="N49" s="176"/>
      <c r="O49" s="176"/>
      <c r="P49" s="176"/>
      <c r="Q49" s="31" t="s">
        <v>33</v>
      </c>
      <c r="R49" s="32"/>
      <c r="S49" s="32"/>
      <c r="T49" s="32">
        <f t="shared" si="0"/>
        <v>0</v>
      </c>
      <c r="U49" s="26"/>
      <c r="V49" s="26"/>
      <c r="W49" s="26"/>
      <c r="X49" s="26"/>
      <c r="Y49" s="26"/>
      <c r="Z49" s="26"/>
      <c r="AA49" s="26"/>
      <c r="AB49" s="26"/>
      <c r="AC49" s="26"/>
      <c r="AD49" s="26"/>
    </row>
    <row r="50" spans="1:30" s="2" customFormat="1" ht="11.25" customHeight="1" x14ac:dyDescent="0.25">
      <c r="A50" s="208">
        <v>5</v>
      </c>
      <c r="B50" s="209"/>
      <c r="C50" s="209"/>
      <c r="D50" s="209"/>
      <c r="E50" s="209"/>
      <c r="F50" s="209"/>
      <c r="G50" s="209"/>
      <c r="H50" s="209"/>
      <c r="I50" s="209"/>
      <c r="J50" s="209"/>
      <c r="K50" s="209"/>
      <c r="L50" s="209"/>
      <c r="N50" s="212" t="s">
        <v>38</v>
      </c>
      <c r="O50" s="213"/>
      <c r="P50" s="213"/>
      <c r="Q50" s="213"/>
      <c r="R50" s="213"/>
      <c r="S50" s="214"/>
      <c r="T50" s="210">
        <f>SUM(T12:T49)</f>
        <v>43.6</v>
      </c>
      <c r="U50" s="26"/>
      <c r="V50" s="26"/>
      <c r="W50" s="26"/>
      <c r="X50" s="26"/>
      <c r="Y50" s="26"/>
      <c r="Z50" s="26"/>
      <c r="AA50" s="26"/>
      <c r="AB50" s="26"/>
      <c r="AC50" s="26"/>
      <c r="AD50" s="26"/>
    </row>
    <row r="51" spans="1:30" s="2" customFormat="1" ht="11.25" customHeight="1" x14ac:dyDescent="0.25">
      <c r="A51" s="208">
        <v>6</v>
      </c>
      <c r="B51" s="209"/>
      <c r="C51" s="209"/>
      <c r="D51" s="209"/>
      <c r="E51" s="209"/>
      <c r="F51" s="209"/>
      <c r="G51" s="209"/>
      <c r="H51" s="209"/>
      <c r="I51" s="209"/>
      <c r="J51" s="209"/>
      <c r="K51" s="209"/>
      <c r="L51" s="209"/>
      <c r="N51" s="215"/>
      <c r="O51" s="216"/>
      <c r="P51" s="216"/>
      <c r="Q51" s="216"/>
      <c r="R51" s="216"/>
      <c r="S51" s="217"/>
      <c r="T51" s="211"/>
      <c r="U51" s="26"/>
      <c r="V51" s="26"/>
      <c r="W51" s="26"/>
      <c r="X51" s="26"/>
      <c r="Y51" s="26"/>
      <c r="Z51" s="26"/>
      <c r="AA51" s="26"/>
      <c r="AB51" s="26"/>
      <c r="AC51" s="26"/>
      <c r="AD51" s="26"/>
    </row>
    <row r="52" spans="1:30" s="2" customFormat="1" ht="11.25" customHeight="1" x14ac:dyDescent="0.2">
      <c r="A52" s="27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</row>
    <row r="53" spans="1:30" s="2" customFormat="1" ht="11.25" customHeight="1" x14ac:dyDescent="0.2"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</row>
    <row r="54" spans="1:30" s="2" customFormat="1" ht="11.25" customHeight="1" x14ac:dyDescent="0.2"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</row>
    <row r="55" spans="1:30" s="2" customFormat="1" ht="11.25" customHeight="1" x14ac:dyDescent="0.2"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</row>
    <row r="56" spans="1:30" s="2" customFormat="1" ht="11.25" customHeight="1" x14ac:dyDescent="0.2"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</row>
    <row r="57" spans="1:30" s="2" customFormat="1" ht="11.25" customHeight="1" x14ac:dyDescent="0.2"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</row>
    <row r="58" spans="1:30" s="2" customFormat="1" ht="11.25" customHeight="1" x14ac:dyDescent="0.2"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</row>
    <row r="59" spans="1:30" s="2" customFormat="1" ht="11.25" customHeight="1" x14ac:dyDescent="0.2"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</row>
    <row r="60" spans="1:30" s="2" customFormat="1" ht="11.25" customHeight="1" x14ac:dyDescent="0.2"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</row>
    <row r="61" spans="1:30" s="2" customFormat="1" ht="11.25" customHeight="1" x14ac:dyDescent="0.2"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</row>
    <row r="62" spans="1:30" s="2" customFormat="1" ht="11.25" customHeight="1" x14ac:dyDescent="0.2"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</row>
    <row r="63" spans="1:30" s="2" customFormat="1" ht="11.25" customHeight="1" x14ac:dyDescent="0.2"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</row>
    <row r="64" spans="1:30" s="2" customFormat="1" ht="11.25" customHeight="1" x14ac:dyDescent="0.2"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</row>
    <row r="65" spans="14:30" s="2" customFormat="1" ht="11.25" customHeight="1" x14ac:dyDescent="0.2"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</row>
    <row r="66" spans="14:30" s="2" customFormat="1" ht="11.25" customHeight="1" x14ac:dyDescent="0.2"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</row>
    <row r="67" spans="14:30" s="2" customFormat="1" ht="11.25" customHeight="1" x14ac:dyDescent="0.2"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</row>
    <row r="68" spans="14:30" s="2" customFormat="1" ht="11.25" customHeight="1" x14ac:dyDescent="0.2"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</row>
    <row r="69" spans="14:30" s="2" customFormat="1" ht="11.25" customHeight="1" x14ac:dyDescent="0.2"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</row>
    <row r="70" spans="14:30" s="2" customFormat="1" ht="11.25" customHeight="1" x14ac:dyDescent="0.2"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</row>
    <row r="71" spans="14:30" s="2" customFormat="1" ht="11.25" customHeight="1" x14ac:dyDescent="0.2"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</row>
    <row r="72" spans="14:30" s="2" customFormat="1" ht="11.25" customHeight="1" x14ac:dyDescent="0.2"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</row>
    <row r="73" spans="14:30" s="2" customFormat="1" ht="11.25" customHeight="1" x14ac:dyDescent="0.2"/>
    <row r="74" spans="14:30" s="2" customFormat="1" ht="11.25" customHeight="1" x14ac:dyDescent="0.2"/>
    <row r="75" spans="14:30" s="2" customFormat="1" ht="11.25" customHeight="1" x14ac:dyDescent="0.2"/>
    <row r="76" spans="14:30" s="2" customFormat="1" ht="11.25" customHeight="1" x14ac:dyDescent="0.2"/>
    <row r="77" spans="14:30" s="2" customFormat="1" ht="11.25" customHeight="1" x14ac:dyDescent="0.2"/>
    <row r="78" spans="14:30" s="2" customFormat="1" ht="11.25" customHeight="1" x14ac:dyDescent="0.2"/>
    <row r="79" spans="14:30" s="2" customFormat="1" ht="11.25" customHeight="1" x14ac:dyDescent="0.2"/>
    <row r="80" spans="14:30" s="2" customFormat="1" ht="11.25" customHeight="1" x14ac:dyDescent="0.2"/>
    <row r="81" s="2" customFormat="1" ht="11.25" customHeight="1" x14ac:dyDescent="0.2"/>
    <row r="82" s="2" customFormat="1" ht="11.25" customHeight="1" x14ac:dyDescent="0.2"/>
    <row r="83" s="2" customFormat="1" ht="11.25" customHeight="1" x14ac:dyDescent="0.2"/>
    <row r="84" s="2" customFormat="1" ht="11.25" customHeight="1" x14ac:dyDescent="0.2"/>
    <row r="85" s="2" customFormat="1" ht="11.25" customHeight="1" x14ac:dyDescent="0.2"/>
    <row r="86" s="2" customFormat="1" ht="11.25" customHeight="1" x14ac:dyDescent="0.2"/>
    <row r="87" s="2" customFormat="1" ht="11.25" customHeight="1" x14ac:dyDescent="0.2"/>
    <row r="88" s="2" customFormat="1" ht="11.25" customHeight="1" x14ac:dyDescent="0.2"/>
    <row r="89" s="2" customFormat="1" ht="11.25" customHeight="1" x14ac:dyDescent="0.2"/>
    <row r="90" s="2" customFormat="1" ht="11.25" customHeight="1" x14ac:dyDescent="0.2"/>
    <row r="91" s="2" customFormat="1" ht="11.25" customHeight="1" x14ac:dyDescent="0.2"/>
    <row r="92" s="2" customFormat="1" ht="11.25" customHeight="1" x14ac:dyDescent="0.2"/>
    <row r="93" s="2" customFormat="1" ht="11.25" customHeight="1" x14ac:dyDescent="0.2"/>
    <row r="94" s="2" customFormat="1" ht="11.25" customHeight="1" x14ac:dyDescent="0.2"/>
    <row r="95" s="2" customFormat="1" ht="11.25" customHeight="1" x14ac:dyDescent="0.2"/>
    <row r="96" s="2" customFormat="1" ht="11.25" customHeight="1" x14ac:dyDescent="0.2"/>
    <row r="97" s="2" customFormat="1" ht="11.25" customHeight="1" x14ac:dyDescent="0.2"/>
    <row r="98" s="2" customFormat="1" ht="11.25" customHeight="1" x14ac:dyDescent="0.2"/>
    <row r="99" s="2" customFormat="1" ht="11.25" customHeight="1" x14ac:dyDescent="0.2"/>
    <row r="100" s="2" customFormat="1" ht="11.25" customHeight="1" x14ac:dyDescent="0.2"/>
    <row r="101" s="2" customFormat="1" ht="11.25" customHeight="1" x14ac:dyDescent="0.2"/>
    <row r="102" s="2" customFormat="1" ht="11.25" customHeight="1" x14ac:dyDescent="0.2"/>
    <row r="103" s="2" customFormat="1" ht="11.25" customHeight="1" x14ac:dyDescent="0.2"/>
    <row r="104" s="2" customFormat="1" ht="11.25" customHeight="1" x14ac:dyDescent="0.2"/>
    <row r="105" s="2" customFormat="1" ht="11.25" customHeight="1" x14ac:dyDescent="0.2"/>
    <row r="106" s="2" customFormat="1" ht="11.25" customHeight="1" x14ac:dyDescent="0.2"/>
    <row r="107" s="2" customFormat="1" ht="11.25" customHeight="1" x14ac:dyDescent="0.2"/>
    <row r="108" s="2" customFormat="1" ht="11.25" customHeight="1" x14ac:dyDescent="0.2"/>
    <row r="109" s="2" customFormat="1" ht="11.25" customHeight="1" x14ac:dyDescent="0.2"/>
    <row r="110" s="2" customFormat="1" ht="11.25" customHeight="1" x14ac:dyDescent="0.2"/>
    <row r="111" s="2" customFormat="1" ht="11.25" customHeight="1" x14ac:dyDescent="0.2"/>
    <row r="112" s="2" customFormat="1" ht="11.25" customHeight="1" x14ac:dyDescent="0.2"/>
    <row r="113" s="2" customFormat="1" ht="11.25" customHeight="1" x14ac:dyDescent="0.2"/>
    <row r="114" s="2" customFormat="1" ht="11.25" customHeight="1" x14ac:dyDescent="0.2"/>
    <row r="115" s="2" customFormat="1" ht="11.25" customHeight="1" x14ac:dyDescent="0.2"/>
    <row r="116" s="2" customFormat="1" ht="11.25" customHeight="1" x14ac:dyDescent="0.2"/>
    <row r="117" s="2" customFormat="1" ht="11.25" customHeight="1" x14ac:dyDescent="0.2"/>
    <row r="118" s="2" customFormat="1" ht="11.25" customHeight="1" x14ac:dyDescent="0.2"/>
    <row r="119" s="2" customFormat="1" ht="11.25" customHeight="1" x14ac:dyDescent="0.2"/>
    <row r="120" s="2" customFormat="1" ht="11.25" customHeight="1" x14ac:dyDescent="0.2"/>
    <row r="121" s="2" customFormat="1" ht="11.25" customHeight="1" x14ac:dyDescent="0.2"/>
    <row r="122" s="2" customFormat="1" ht="11.25" customHeight="1" x14ac:dyDescent="0.2"/>
    <row r="123" s="2" customFormat="1" ht="11.25" customHeight="1" x14ac:dyDescent="0.2"/>
    <row r="124" s="2" customFormat="1" ht="11.25" customHeight="1" x14ac:dyDescent="0.2"/>
    <row r="125" s="2" customFormat="1" ht="11.25" customHeight="1" x14ac:dyDescent="0.2"/>
    <row r="126" s="2" customFormat="1" ht="11.25" customHeight="1" x14ac:dyDescent="0.2"/>
    <row r="127" s="2" customFormat="1" ht="11.25" customHeight="1" x14ac:dyDescent="0.2"/>
    <row r="128" s="2" customFormat="1" ht="11.25" customHeight="1" x14ac:dyDescent="0.2"/>
    <row r="129" s="2" customFormat="1" ht="11.25" customHeight="1" x14ac:dyDescent="0.2"/>
    <row r="130" s="2" customFormat="1" ht="11.25" customHeight="1" x14ac:dyDescent="0.2"/>
    <row r="131" s="2" customFormat="1" ht="11.25" customHeight="1" x14ac:dyDescent="0.2"/>
    <row r="132" s="2" customFormat="1" ht="11.25" customHeight="1" x14ac:dyDescent="0.2"/>
    <row r="133" s="2" customFormat="1" ht="11.25" customHeight="1" x14ac:dyDescent="0.2"/>
    <row r="134" s="2" customFormat="1" ht="11.25" customHeight="1" x14ac:dyDescent="0.2"/>
    <row r="135" s="2" customFormat="1" ht="11.25" customHeight="1" x14ac:dyDescent="0.2"/>
    <row r="136" s="2" customFormat="1" ht="11.25" customHeight="1" x14ac:dyDescent="0.2"/>
    <row r="137" s="2" customFormat="1" ht="11.25" customHeight="1" x14ac:dyDescent="0.2"/>
    <row r="138" s="2" customFormat="1" ht="11.25" customHeight="1" x14ac:dyDescent="0.2"/>
    <row r="139" s="2" customFormat="1" ht="11.25" customHeight="1" x14ac:dyDescent="0.2"/>
    <row r="140" s="2" customFormat="1" ht="11.25" customHeight="1" x14ac:dyDescent="0.2"/>
    <row r="141" s="2" customFormat="1" ht="11.25" customHeight="1" x14ac:dyDescent="0.2"/>
    <row r="142" s="2" customFormat="1" ht="11.25" customHeight="1" x14ac:dyDescent="0.2"/>
    <row r="143" s="2" customFormat="1" ht="11.25" customHeight="1" x14ac:dyDescent="0.2"/>
    <row r="144" s="2" customFormat="1" ht="11.25" customHeight="1" x14ac:dyDescent="0.2"/>
    <row r="145" s="2" customFormat="1" ht="11.25" customHeight="1" x14ac:dyDescent="0.2"/>
    <row r="146" s="2" customFormat="1" ht="11.25" customHeight="1" x14ac:dyDescent="0.2"/>
    <row r="147" s="2" customFormat="1" ht="11.25" customHeight="1" x14ac:dyDescent="0.2"/>
    <row r="148" s="2" customFormat="1" ht="11.25" customHeight="1" x14ac:dyDescent="0.2"/>
    <row r="149" s="2" customFormat="1" ht="11.25" customHeight="1" x14ac:dyDescent="0.2"/>
    <row r="150" s="2" customFormat="1" ht="11.25" customHeight="1" x14ac:dyDescent="0.2"/>
    <row r="151" s="2" customFormat="1" ht="11.25" customHeight="1" x14ac:dyDescent="0.2"/>
    <row r="152" s="2" customFormat="1" ht="11.25" customHeight="1" x14ac:dyDescent="0.2"/>
    <row r="153" s="2" customFormat="1" ht="11.25" customHeight="1" x14ac:dyDescent="0.2"/>
    <row r="154" s="2" customFormat="1" ht="11.25" customHeight="1" x14ac:dyDescent="0.2"/>
    <row r="155" s="2" customFormat="1" ht="11.25" customHeight="1" x14ac:dyDescent="0.2"/>
    <row r="156" s="2" customFormat="1" ht="11.25" customHeight="1" x14ac:dyDescent="0.2"/>
    <row r="157" s="2" customFormat="1" ht="11.25" customHeight="1" x14ac:dyDescent="0.2"/>
    <row r="158" s="2" customFormat="1" ht="11.25" customHeight="1" x14ac:dyDescent="0.2"/>
    <row r="159" s="2" customFormat="1" ht="11.25" customHeight="1" x14ac:dyDescent="0.2"/>
    <row r="160" s="2" customFormat="1" ht="11.25" customHeight="1" x14ac:dyDescent="0.2"/>
    <row r="161" s="2" customFormat="1" ht="11.25" customHeight="1" x14ac:dyDescent="0.2"/>
    <row r="162" s="2" customFormat="1" ht="11.25" customHeight="1" x14ac:dyDescent="0.2"/>
    <row r="163" s="2" customFormat="1" ht="11.25" customHeight="1" x14ac:dyDescent="0.2"/>
    <row r="164" s="2" customFormat="1" ht="11.25" customHeight="1" x14ac:dyDescent="0.2"/>
    <row r="165" s="2" customFormat="1" ht="11.25" customHeight="1" x14ac:dyDescent="0.2"/>
    <row r="166" s="2" customFormat="1" ht="11.25" customHeight="1" x14ac:dyDescent="0.2"/>
    <row r="167" s="2" customFormat="1" ht="11.25" customHeight="1" x14ac:dyDescent="0.2"/>
    <row r="168" s="2" customFormat="1" ht="11.25" customHeight="1" x14ac:dyDescent="0.2"/>
    <row r="169" s="2" customFormat="1" ht="11.25" customHeight="1" x14ac:dyDescent="0.2"/>
    <row r="170" s="2" customFormat="1" ht="11.25" customHeight="1" x14ac:dyDescent="0.2"/>
    <row r="171" s="2" customFormat="1" ht="11.25" customHeight="1" x14ac:dyDescent="0.2"/>
    <row r="172" ht="11.25" customHeight="1" x14ac:dyDescent="0.25"/>
    <row r="173" ht="11.25" customHeight="1" x14ac:dyDescent="0.25"/>
    <row r="174" ht="11.25" customHeight="1" x14ac:dyDescent="0.25"/>
    <row r="175" ht="11.25" customHeight="1" x14ac:dyDescent="0.25"/>
    <row r="176" ht="11.25" customHeight="1" x14ac:dyDescent="0.25"/>
    <row r="177" ht="11.25" customHeight="1" x14ac:dyDescent="0.25"/>
    <row r="178" ht="11.25" customHeight="1" x14ac:dyDescent="0.25"/>
    <row r="179" ht="11.25" customHeight="1" x14ac:dyDescent="0.25"/>
    <row r="180" ht="11.25" customHeight="1" x14ac:dyDescent="0.25"/>
    <row r="181" ht="11.25" customHeight="1" x14ac:dyDescent="0.25"/>
    <row r="182" ht="11.25" customHeight="1" x14ac:dyDescent="0.25"/>
    <row r="183" ht="11.25" customHeight="1" x14ac:dyDescent="0.25"/>
    <row r="184" ht="11.25" customHeight="1" x14ac:dyDescent="0.25"/>
    <row r="185" ht="11.25" customHeight="1" x14ac:dyDescent="0.25"/>
    <row r="186" ht="11.25" customHeight="1" x14ac:dyDescent="0.25"/>
    <row r="187" ht="11.25" customHeight="1" x14ac:dyDescent="0.25"/>
    <row r="188" ht="11.25" customHeight="1" x14ac:dyDescent="0.25"/>
    <row r="189" ht="11.25" customHeight="1" x14ac:dyDescent="0.25"/>
    <row r="190" ht="11.25" customHeight="1" x14ac:dyDescent="0.25"/>
    <row r="191" ht="11.25" customHeight="1" x14ac:dyDescent="0.25"/>
    <row r="192" ht="11.25" customHeight="1" x14ac:dyDescent="0.25"/>
    <row r="193" ht="11.25" customHeight="1" x14ac:dyDescent="0.25"/>
    <row r="194" ht="11.25" customHeight="1" x14ac:dyDescent="0.25"/>
    <row r="195" ht="11.25" customHeight="1" x14ac:dyDescent="0.25"/>
    <row r="196" ht="11.25" customHeight="1" x14ac:dyDescent="0.25"/>
    <row r="197" ht="11.25" customHeight="1" x14ac:dyDescent="0.25"/>
    <row r="198" ht="11.25" customHeight="1" x14ac:dyDescent="0.25"/>
    <row r="199" ht="11.25" customHeight="1" x14ac:dyDescent="0.25"/>
    <row r="200" ht="11.25" customHeight="1" x14ac:dyDescent="0.25"/>
    <row r="201" ht="11.25" customHeight="1" x14ac:dyDescent="0.25"/>
    <row r="202" ht="11.25" customHeight="1" x14ac:dyDescent="0.25"/>
    <row r="203" ht="11.25" customHeight="1" x14ac:dyDescent="0.25"/>
    <row r="204" ht="11.25" customHeight="1" x14ac:dyDescent="0.25"/>
    <row r="205" ht="11.25" customHeight="1" x14ac:dyDescent="0.25"/>
    <row r="206" ht="11.25" customHeight="1" x14ac:dyDescent="0.25"/>
    <row r="207" ht="11.25" customHeight="1" x14ac:dyDescent="0.25"/>
    <row r="208" ht="11.25" customHeight="1" x14ac:dyDescent="0.25"/>
    <row r="209" ht="11.25" customHeight="1" x14ac:dyDescent="0.25"/>
    <row r="210" ht="11.25" customHeight="1" x14ac:dyDescent="0.25"/>
    <row r="211" ht="11.25" customHeight="1" x14ac:dyDescent="0.25"/>
    <row r="212" ht="11.25" customHeight="1" x14ac:dyDescent="0.25"/>
    <row r="213" ht="11.25" customHeight="1" x14ac:dyDescent="0.25"/>
    <row r="214" ht="11.25" customHeight="1" x14ac:dyDescent="0.25"/>
    <row r="215" ht="11.25" customHeight="1" x14ac:dyDescent="0.25"/>
    <row r="216" ht="11.25" customHeight="1" x14ac:dyDescent="0.25"/>
    <row r="217" ht="11.25" customHeight="1" x14ac:dyDescent="0.25"/>
    <row r="218" ht="11.25" customHeight="1" x14ac:dyDescent="0.25"/>
    <row r="219" ht="11.25" customHeight="1" x14ac:dyDescent="0.25"/>
    <row r="220" ht="11.25" customHeight="1" x14ac:dyDescent="0.25"/>
    <row r="221" ht="11.25" customHeight="1" x14ac:dyDescent="0.25"/>
    <row r="222" ht="11.25" customHeight="1" x14ac:dyDescent="0.25"/>
    <row r="223" ht="11.25" customHeight="1" x14ac:dyDescent="0.25"/>
    <row r="224" ht="11.25" customHeight="1" x14ac:dyDescent="0.25"/>
    <row r="225" ht="11.25" customHeight="1" x14ac:dyDescent="0.25"/>
    <row r="226" ht="11.25" customHeight="1" x14ac:dyDescent="0.25"/>
    <row r="227" ht="11.25" customHeight="1" x14ac:dyDescent="0.25"/>
    <row r="228" ht="11.25" customHeight="1" x14ac:dyDescent="0.25"/>
    <row r="229" ht="11.25" customHeight="1" x14ac:dyDescent="0.25"/>
    <row r="230" ht="11.25" customHeight="1" x14ac:dyDescent="0.25"/>
    <row r="231" ht="11.25" customHeight="1" x14ac:dyDescent="0.25"/>
    <row r="232" ht="11.25" customHeight="1" x14ac:dyDescent="0.25"/>
    <row r="233" ht="11.25" customHeight="1" x14ac:dyDescent="0.25"/>
    <row r="234" ht="11.25" customHeight="1" x14ac:dyDescent="0.25"/>
    <row r="235" ht="11.25" customHeight="1" x14ac:dyDescent="0.25"/>
    <row r="236" ht="11.25" customHeight="1" x14ac:dyDescent="0.25"/>
    <row r="237" ht="11.25" customHeight="1" x14ac:dyDescent="0.25"/>
    <row r="238" ht="11.25" customHeight="1" x14ac:dyDescent="0.25"/>
    <row r="239" ht="11.25" customHeight="1" x14ac:dyDescent="0.25"/>
    <row r="240" ht="11.25" customHeight="1" x14ac:dyDescent="0.25"/>
    <row r="241" ht="11.25" customHeight="1" x14ac:dyDescent="0.25"/>
    <row r="242" ht="11.25" customHeight="1" x14ac:dyDescent="0.25"/>
    <row r="243" ht="11.25" customHeight="1" x14ac:dyDescent="0.25"/>
    <row r="244" ht="11.25" customHeight="1" x14ac:dyDescent="0.25"/>
    <row r="245" ht="11.25" customHeight="1" x14ac:dyDescent="0.25"/>
    <row r="246" ht="11.25" customHeight="1" x14ac:dyDescent="0.25"/>
    <row r="247" ht="11.25" customHeight="1" x14ac:dyDescent="0.25"/>
    <row r="248" ht="11.25" customHeight="1" x14ac:dyDescent="0.25"/>
    <row r="249" ht="11.25" customHeight="1" x14ac:dyDescent="0.25"/>
    <row r="250" ht="11.25" customHeight="1" x14ac:dyDescent="0.25"/>
    <row r="251" ht="11.25" customHeight="1" x14ac:dyDescent="0.25"/>
    <row r="252" ht="11.25" customHeight="1" x14ac:dyDescent="0.25"/>
    <row r="253" ht="11.25" customHeight="1" x14ac:dyDescent="0.25"/>
    <row r="254" ht="11.25" customHeight="1" x14ac:dyDescent="0.25"/>
    <row r="255" ht="11.25" customHeight="1" x14ac:dyDescent="0.25"/>
    <row r="256" ht="11.25" customHeight="1" x14ac:dyDescent="0.25"/>
    <row r="257" ht="11.25" customHeight="1" x14ac:dyDescent="0.25"/>
    <row r="258" ht="11.25" customHeight="1" x14ac:dyDescent="0.25"/>
    <row r="259" ht="11.25" customHeight="1" x14ac:dyDescent="0.25"/>
    <row r="260" ht="11.25" customHeight="1" x14ac:dyDescent="0.25"/>
    <row r="261" ht="11.25" customHeight="1" x14ac:dyDescent="0.25"/>
    <row r="262" ht="11.25" customHeight="1" x14ac:dyDescent="0.25"/>
    <row r="263" ht="11.25" customHeight="1" x14ac:dyDescent="0.25"/>
    <row r="264" ht="11.25" customHeight="1" x14ac:dyDescent="0.25"/>
    <row r="265" ht="11.25" customHeight="1" x14ac:dyDescent="0.25"/>
    <row r="266" ht="11.25" customHeight="1" x14ac:dyDescent="0.25"/>
    <row r="267" ht="11.25" customHeight="1" x14ac:dyDescent="0.25"/>
    <row r="268" ht="11.25" customHeight="1" x14ac:dyDescent="0.25"/>
    <row r="269" ht="11.25" customHeight="1" x14ac:dyDescent="0.25"/>
    <row r="270" ht="11.25" customHeight="1" x14ac:dyDescent="0.25"/>
    <row r="271" ht="11.25" customHeight="1" x14ac:dyDescent="0.25"/>
    <row r="272" ht="11.25" customHeight="1" x14ac:dyDescent="0.25"/>
    <row r="273" ht="11.25" customHeight="1" x14ac:dyDescent="0.25"/>
    <row r="274" ht="11.25" customHeight="1" x14ac:dyDescent="0.25"/>
    <row r="275" ht="11.25" customHeight="1" x14ac:dyDescent="0.25"/>
    <row r="276" ht="11.25" customHeight="1" x14ac:dyDescent="0.25"/>
    <row r="277" ht="11.25" customHeight="1" x14ac:dyDescent="0.25"/>
    <row r="278" ht="11.25" customHeight="1" x14ac:dyDescent="0.25"/>
    <row r="279" ht="11.25" customHeight="1" x14ac:dyDescent="0.25"/>
    <row r="280" ht="11.25" customHeight="1" x14ac:dyDescent="0.25"/>
    <row r="281" ht="11.25" customHeight="1" x14ac:dyDescent="0.25"/>
    <row r="282" ht="11.25" customHeight="1" x14ac:dyDescent="0.25"/>
    <row r="283" ht="11.25" customHeight="1" x14ac:dyDescent="0.25"/>
    <row r="284" ht="11.25" customHeight="1" x14ac:dyDescent="0.25"/>
    <row r="285" ht="11.25" customHeight="1" x14ac:dyDescent="0.25"/>
    <row r="286" ht="11.25" customHeight="1" x14ac:dyDescent="0.25"/>
    <row r="287" ht="11.25" customHeight="1" x14ac:dyDescent="0.25"/>
    <row r="288" ht="11.25" customHeight="1" x14ac:dyDescent="0.25"/>
    <row r="289" ht="11.25" customHeight="1" x14ac:dyDescent="0.25"/>
    <row r="290" ht="11.25" customHeight="1" x14ac:dyDescent="0.25"/>
    <row r="291" ht="11.25" customHeight="1" x14ac:dyDescent="0.25"/>
    <row r="292" ht="11.25" customHeight="1" x14ac:dyDescent="0.25"/>
    <row r="293" ht="11.25" customHeight="1" x14ac:dyDescent="0.25"/>
    <row r="294" ht="11.25" customHeight="1" x14ac:dyDescent="0.25"/>
    <row r="295" ht="11.25" customHeight="1" x14ac:dyDescent="0.25"/>
    <row r="296" ht="11.25" customHeight="1" x14ac:dyDescent="0.25"/>
    <row r="297" ht="11.25" customHeight="1" x14ac:dyDescent="0.25"/>
    <row r="298" ht="11.25" customHeight="1" x14ac:dyDescent="0.25"/>
    <row r="299" ht="11.25" customHeight="1" x14ac:dyDescent="0.25"/>
    <row r="300" ht="11.25" customHeight="1" x14ac:dyDescent="0.25"/>
    <row r="301" ht="11.25" customHeight="1" x14ac:dyDescent="0.25"/>
    <row r="302" ht="11.25" customHeight="1" x14ac:dyDescent="0.25"/>
    <row r="303" ht="11.25" customHeight="1" x14ac:dyDescent="0.25"/>
    <row r="304" ht="11.25" customHeight="1" x14ac:dyDescent="0.25"/>
    <row r="305" ht="11.25" customHeight="1" x14ac:dyDescent="0.25"/>
    <row r="306" ht="11.25" customHeight="1" x14ac:dyDescent="0.25"/>
    <row r="307" ht="11.25" customHeight="1" x14ac:dyDescent="0.25"/>
    <row r="308" ht="11.25" customHeight="1" x14ac:dyDescent="0.25"/>
    <row r="309" ht="11.25" customHeight="1" x14ac:dyDescent="0.25"/>
    <row r="310" ht="11.25" customHeight="1" x14ac:dyDescent="0.25"/>
    <row r="311" ht="11.25" customHeight="1" x14ac:dyDescent="0.25"/>
    <row r="312" ht="11.25" customHeight="1" x14ac:dyDescent="0.25"/>
    <row r="313" ht="11.25" customHeight="1" x14ac:dyDescent="0.25"/>
    <row r="314" ht="11.25" customHeight="1" x14ac:dyDescent="0.25"/>
    <row r="315" ht="11.25" customHeight="1" x14ac:dyDescent="0.25"/>
    <row r="316" ht="11.25" customHeight="1" x14ac:dyDescent="0.25"/>
    <row r="317" ht="11.25" customHeight="1" x14ac:dyDescent="0.25"/>
    <row r="318" ht="11.25" customHeight="1" x14ac:dyDescent="0.25"/>
    <row r="319" ht="11.25" customHeight="1" x14ac:dyDescent="0.25"/>
    <row r="320" ht="11.25" customHeight="1" x14ac:dyDescent="0.25"/>
    <row r="321" ht="11.25" customHeight="1" x14ac:dyDescent="0.25"/>
    <row r="322" ht="11.25" customHeight="1" x14ac:dyDescent="0.25"/>
    <row r="323" ht="11.25" customHeight="1" x14ac:dyDescent="0.25"/>
    <row r="324" ht="11.25" customHeight="1" x14ac:dyDescent="0.25"/>
    <row r="325" ht="11.25" customHeight="1" x14ac:dyDescent="0.25"/>
    <row r="326" ht="11.25" customHeight="1" x14ac:dyDescent="0.25"/>
    <row r="327" ht="11.25" customHeight="1" x14ac:dyDescent="0.25"/>
    <row r="328" ht="11.25" customHeight="1" x14ac:dyDescent="0.25"/>
    <row r="329" ht="11.25" customHeight="1" x14ac:dyDescent="0.25"/>
    <row r="330" ht="11.25" customHeight="1" x14ac:dyDescent="0.25"/>
    <row r="331" ht="11.25" customHeight="1" x14ac:dyDescent="0.25"/>
    <row r="332" ht="11.25" customHeight="1" x14ac:dyDescent="0.25"/>
    <row r="333" ht="11.25" customHeight="1" x14ac:dyDescent="0.25"/>
    <row r="334" ht="11.25" customHeight="1" x14ac:dyDescent="0.25"/>
    <row r="335" ht="11.25" customHeight="1" x14ac:dyDescent="0.25"/>
    <row r="336" ht="11.25" customHeight="1" x14ac:dyDescent="0.25"/>
  </sheetData>
  <mergeCells count="112">
    <mergeCell ref="T50:T51"/>
    <mergeCell ref="A51:L51"/>
    <mergeCell ref="A48:L48"/>
    <mergeCell ref="N48:N49"/>
    <mergeCell ref="O48:O49"/>
    <mergeCell ref="P48:P49"/>
    <mergeCell ref="A49:L49"/>
    <mergeCell ref="A50:L50"/>
    <mergeCell ref="N50:S51"/>
    <mergeCell ref="N44:N45"/>
    <mergeCell ref="O44:O45"/>
    <mergeCell ref="P44:P45"/>
    <mergeCell ref="A46:L46"/>
    <mergeCell ref="N46:N47"/>
    <mergeCell ref="O46:O47"/>
    <mergeCell ref="P46:P47"/>
    <mergeCell ref="A47:L47"/>
    <mergeCell ref="N40:N41"/>
    <mergeCell ref="O40:O41"/>
    <mergeCell ref="P40:P41"/>
    <mergeCell ref="N42:N43"/>
    <mergeCell ref="O42:O43"/>
    <mergeCell ref="P42:P43"/>
    <mergeCell ref="W35:AA36"/>
    <mergeCell ref="AB35:AC36"/>
    <mergeCell ref="A36:L40"/>
    <mergeCell ref="N36:N37"/>
    <mergeCell ref="O36:O37"/>
    <mergeCell ref="P36:P37"/>
    <mergeCell ref="W37:AA38"/>
    <mergeCell ref="AB37:AC38"/>
    <mergeCell ref="N38:N39"/>
    <mergeCell ref="O38:O39"/>
    <mergeCell ref="P38:P39"/>
    <mergeCell ref="N30:N31"/>
    <mergeCell ref="O30:O31"/>
    <mergeCell ref="P30:P31"/>
    <mergeCell ref="V31:V38"/>
    <mergeCell ref="W31:AA32"/>
    <mergeCell ref="P24:P25"/>
    <mergeCell ref="W25:AA26"/>
    <mergeCell ref="AB25:AC26"/>
    <mergeCell ref="N26:N27"/>
    <mergeCell ref="O26:O27"/>
    <mergeCell ref="P26:P27"/>
    <mergeCell ref="W27:AA28"/>
    <mergeCell ref="AB27:AC28"/>
    <mergeCell ref="N28:N29"/>
    <mergeCell ref="O28:O29"/>
    <mergeCell ref="AB31:AC32"/>
    <mergeCell ref="N32:N33"/>
    <mergeCell ref="O32:O33"/>
    <mergeCell ref="P32:P33"/>
    <mergeCell ref="W33:AA34"/>
    <mergeCell ref="AB33:AC34"/>
    <mergeCell ref="N34:N35"/>
    <mergeCell ref="O34:O35"/>
    <mergeCell ref="P34:P35"/>
    <mergeCell ref="P20:P21"/>
    <mergeCell ref="W21:AA22"/>
    <mergeCell ref="AB21:AC22"/>
    <mergeCell ref="N22:N23"/>
    <mergeCell ref="O22:O23"/>
    <mergeCell ref="P22:P23"/>
    <mergeCell ref="W23:AA24"/>
    <mergeCell ref="AB23:AC24"/>
    <mergeCell ref="N24:N25"/>
    <mergeCell ref="O24:O25"/>
    <mergeCell ref="V17:V28"/>
    <mergeCell ref="W17:AA18"/>
    <mergeCell ref="AB17:AC18"/>
    <mergeCell ref="N18:N19"/>
    <mergeCell ref="O18:O19"/>
    <mergeCell ref="P18:P19"/>
    <mergeCell ref="W19:AA20"/>
    <mergeCell ref="AB19:AC20"/>
    <mergeCell ref="N20:N21"/>
    <mergeCell ref="O20:O21"/>
    <mergeCell ref="P28:P29"/>
    <mergeCell ref="N14:N15"/>
    <mergeCell ref="O14:O15"/>
    <mergeCell ref="P14:P15"/>
    <mergeCell ref="N16:N17"/>
    <mergeCell ref="O16:O17"/>
    <mergeCell ref="P16:P17"/>
    <mergeCell ref="V9:AA10"/>
    <mergeCell ref="V11:AA12"/>
    <mergeCell ref="AB11:AC12"/>
    <mergeCell ref="A2:T4"/>
    <mergeCell ref="V2:X2"/>
    <mergeCell ref="Y2:AA2"/>
    <mergeCell ref="AB2:AC2"/>
    <mergeCell ref="V3:X4"/>
    <mergeCell ref="Y3:AA4"/>
    <mergeCell ref="AB3:AC4"/>
    <mergeCell ref="A12:L34"/>
    <mergeCell ref="N12:N13"/>
    <mergeCell ref="O12:O13"/>
    <mergeCell ref="P12:P13"/>
    <mergeCell ref="V13:AA14"/>
    <mergeCell ref="AB13:AB14"/>
    <mergeCell ref="AC13:AC14"/>
    <mergeCell ref="A7:L11"/>
    <mergeCell ref="N7:T8"/>
    <mergeCell ref="V7:AC8"/>
    <mergeCell ref="N9:N11"/>
    <mergeCell ref="O9:O11"/>
    <mergeCell ref="P9:P11"/>
    <mergeCell ref="Q9:Q11"/>
    <mergeCell ref="R9:R11"/>
    <mergeCell ref="S9:S11"/>
    <mergeCell ref="T9:T11"/>
  </mergeCells>
  <dataValidations count="1">
    <dataValidation allowBlank="1" showInputMessage="1" showErrorMessage="1" promptTitle="f.g" sqref="AB10:AC10" xr:uid="{00000000-0002-0000-0100-000000000000}"/>
  </dataValidations>
  <pageMargins left="0.12" right="0.12" top="0.2" bottom="0.2" header="0" footer="0"/>
  <pageSetup paperSize="9" orientation="landscape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2:Y48"/>
  <sheetViews>
    <sheetView topLeftCell="C1" zoomScale="70" zoomScaleNormal="70" workbookViewId="0">
      <selection activeCell="AA28" sqref="AA28"/>
    </sheetView>
  </sheetViews>
  <sheetFormatPr defaultRowHeight="15" x14ac:dyDescent="0.25"/>
  <cols>
    <col min="1" max="1" width="4.85546875" style="22" customWidth="1"/>
    <col min="2" max="6" width="9.140625" style="22"/>
    <col min="7" max="7" width="5.42578125" style="22" customWidth="1"/>
    <col min="8" max="12" width="9.140625" style="22"/>
    <col min="13" max="13" width="4.7109375" style="22" customWidth="1"/>
    <col min="14" max="18" width="9.140625" style="22"/>
    <col min="19" max="19" width="4" style="22" customWidth="1"/>
    <col min="20" max="25" width="9.140625" style="22"/>
  </cols>
  <sheetData>
    <row r="2" spans="1:25" x14ac:dyDescent="0.25">
      <c r="B2" s="238" t="s">
        <v>79</v>
      </c>
      <c r="C2" s="238"/>
      <c r="D2" s="238"/>
      <c r="E2" s="238"/>
      <c r="F2" s="238"/>
      <c r="G2" s="238"/>
      <c r="H2" s="238"/>
      <c r="I2" s="238"/>
      <c r="J2" s="238"/>
      <c r="K2" s="238"/>
      <c r="L2" s="238"/>
      <c r="M2" s="238"/>
      <c r="N2" s="238"/>
      <c r="O2" s="238"/>
      <c r="P2" s="238"/>
      <c r="Q2" s="238"/>
      <c r="R2" s="238"/>
      <c r="S2" s="238"/>
      <c r="T2" s="238"/>
      <c r="U2" s="238"/>
      <c r="V2" s="238"/>
      <c r="W2" s="238"/>
      <c r="X2" s="238"/>
    </row>
    <row r="3" spans="1:25" ht="15.75" thickBot="1" x14ac:dyDescent="0.3">
      <c r="B3" s="238"/>
      <c r="C3" s="238"/>
      <c r="D3" s="238"/>
      <c r="E3" s="238"/>
      <c r="F3" s="238"/>
      <c r="G3" s="238"/>
      <c r="H3" s="238"/>
      <c r="I3" s="238"/>
      <c r="J3" s="238"/>
      <c r="K3" s="238"/>
      <c r="L3" s="238"/>
      <c r="M3" s="238"/>
      <c r="N3" s="238"/>
      <c r="O3" s="238"/>
      <c r="P3" s="238"/>
      <c r="Q3" s="238"/>
      <c r="R3" s="238"/>
      <c r="S3" s="238"/>
      <c r="T3" s="238"/>
      <c r="U3" s="238"/>
      <c r="V3" s="238"/>
      <c r="W3" s="238"/>
      <c r="X3" s="238"/>
    </row>
    <row r="4" spans="1:25" ht="27.75" thickBot="1" x14ac:dyDescent="0.3">
      <c r="B4" s="235" t="s">
        <v>113</v>
      </c>
      <c r="C4" s="236"/>
      <c r="D4" s="236"/>
      <c r="E4" s="236"/>
      <c r="F4" s="237"/>
      <c r="G4" s="23"/>
      <c r="H4" s="235" t="s">
        <v>113</v>
      </c>
      <c r="I4" s="236"/>
      <c r="J4" s="236"/>
      <c r="K4" s="236"/>
      <c r="L4" s="237"/>
      <c r="M4" s="23"/>
      <c r="N4" s="235" t="s">
        <v>113</v>
      </c>
      <c r="O4" s="236"/>
      <c r="P4" s="236"/>
      <c r="Q4" s="236"/>
      <c r="R4" s="237"/>
      <c r="S4" s="23"/>
      <c r="T4" s="235" t="s">
        <v>113</v>
      </c>
      <c r="U4" s="236"/>
      <c r="V4" s="236"/>
      <c r="W4" s="236"/>
      <c r="X4" s="237"/>
    </row>
    <row r="5" spans="1:25" ht="16.5" thickBot="1" x14ac:dyDescent="0.3">
      <c r="B5" s="234" t="s">
        <v>58</v>
      </c>
      <c r="C5" s="234"/>
      <c r="D5" s="234"/>
      <c r="E5" s="234"/>
      <c r="F5" s="234"/>
      <c r="H5" s="234" t="s">
        <v>59</v>
      </c>
      <c r="I5" s="234"/>
      <c r="J5" s="234"/>
      <c r="K5" s="234"/>
      <c r="L5" s="234"/>
      <c r="N5" s="234" t="s">
        <v>60</v>
      </c>
      <c r="O5" s="234"/>
      <c r="P5" s="234"/>
      <c r="Q5" s="234"/>
      <c r="R5" s="234"/>
      <c r="T5" s="234" t="s">
        <v>61</v>
      </c>
      <c r="U5" s="234"/>
      <c r="V5" s="234"/>
      <c r="W5" s="234"/>
      <c r="X5" s="234"/>
    </row>
    <row r="6" spans="1:25" ht="21" thickBot="1" x14ac:dyDescent="0.3">
      <c r="A6" s="24"/>
      <c r="B6" s="222" t="s">
        <v>62</v>
      </c>
      <c r="C6" s="223"/>
      <c r="D6" s="223"/>
      <c r="E6" s="223"/>
      <c r="F6" s="224"/>
      <c r="G6" s="24"/>
      <c r="H6" s="222" t="s">
        <v>63</v>
      </c>
      <c r="I6" s="223"/>
      <c r="J6" s="223"/>
      <c r="K6" s="223"/>
      <c r="L6" s="224"/>
      <c r="M6" s="24"/>
      <c r="N6" s="222" t="s">
        <v>64</v>
      </c>
      <c r="O6" s="223"/>
      <c r="P6" s="223"/>
      <c r="Q6" s="223"/>
      <c r="R6" s="224"/>
      <c r="S6" s="24"/>
      <c r="T6" s="222" t="s">
        <v>180</v>
      </c>
      <c r="U6" s="223"/>
      <c r="V6" s="223"/>
      <c r="W6" s="223"/>
      <c r="X6" s="224"/>
      <c r="Y6" s="24"/>
    </row>
    <row r="7" spans="1:25" x14ac:dyDescent="0.25">
      <c r="B7" s="225"/>
      <c r="C7" s="226"/>
      <c r="D7" s="226"/>
      <c r="E7" s="226"/>
      <c r="F7" s="227"/>
      <c r="H7" s="225"/>
      <c r="I7" s="226"/>
      <c r="J7" s="226"/>
      <c r="K7" s="226"/>
      <c r="L7" s="227"/>
      <c r="N7" s="225"/>
      <c r="O7" s="226"/>
      <c r="P7" s="226"/>
      <c r="Q7" s="226"/>
      <c r="R7" s="227"/>
      <c r="T7" s="225"/>
      <c r="U7" s="226"/>
      <c r="V7" s="226"/>
      <c r="W7" s="226"/>
      <c r="X7" s="227"/>
    </row>
    <row r="8" spans="1:25" x14ac:dyDescent="0.25">
      <c r="B8" s="228"/>
      <c r="C8" s="229"/>
      <c r="D8" s="229"/>
      <c r="E8" s="229"/>
      <c r="F8" s="230"/>
      <c r="H8" s="228"/>
      <c r="I8" s="229"/>
      <c r="J8" s="229"/>
      <c r="K8" s="229"/>
      <c r="L8" s="230"/>
      <c r="N8" s="228"/>
      <c r="O8" s="229"/>
      <c r="P8" s="229"/>
      <c r="Q8" s="229"/>
      <c r="R8" s="230"/>
      <c r="T8" s="228"/>
      <c r="U8" s="229"/>
      <c r="V8" s="229"/>
      <c r="W8" s="229"/>
      <c r="X8" s="230"/>
    </row>
    <row r="9" spans="1:25" x14ac:dyDescent="0.25">
      <c r="B9" s="228"/>
      <c r="C9" s="229"/>
      <c r="D9" s="229"/>
      <c r="E9" s="229"/>
      <c r="F9" s="230"/>
      <c r="H9" s="228"/>
      <c r="I9" s="229"/>
      <c r="J9" s="229"/>
      <c r="K9" s="229"/>
      <c r="L9" s="230"/>
      <c r="N9" s="228"/>
      <c r="O9" s="229"/>
      <c r="P9" s="229"/>
      <c r="Q9" s="229"/>
      <c r="R9" s="230"/>
      <c r="T9" s="228"/>
      <c r="U9" s="229"/>
      <c r="V9" s="229"/>
      <c r="W9" s="229"/>
      <c r="X9" s="230"/>
    </row>
    <row r="10" spans="1:25" x14ac:dyDescent="0.25">
      <c r="B10" s="228"/>
      <c r="C10" s="229"/>
      <c r="D10" s="229"/>
      <c r="E10" s="229"/>
      <c r="F10" s="230"/>
      <c r="H10" s="228"/>
      <c r="I10" s="229"/>
      <c r="J10" s="229"/>
      <c r="K10" s="229"/>
      <c r="L10" s="230"/>
      <c r="N10" s="228"/>
      <c r="O10" s="229"/>
      <c r="P10" s="229"/>
      <c r="Q10" s="229"/>
      <c r="R10" s="230"/>
      <c r="T10" s="228"/>
      <c r="U10" s="229"/>
      <c r="V10" s="229"/>
      <c r="W10" s="229"/>
      <c r="X10" s="230"/>
    </row>
    <row r="11" spans="1:25" x14ac:dyDescent="0.25">
      <c r="B11" s="228"/>
      <c r="C11" s="229"/>
      <c r="D11" s="229"/>
      <c r="E11" s="229"/>
      <c r="F11" s="230"/>
      <c r="H11" s="228"/>
      <c r="I11" s="229"/>
      <c r="J11" s="229"/>
      <c r="K11" s="229"/>
      <c r="L11" s="230"/>
      <c r="N11" s="228"/>
      <c r="O11" s="229"/>
      <c r="P11" s="229"/>
      <c r="Q11" s="229"/>
      <c r="R11" s="230"/>
      <c r="T11" s="228"/>
      <c r="U11" s="229"/>
      <c r="V11" s="229"/>
      <c r="W11" s="229"/>
      <c r="X11" s="230"/>
    </row>
    <row r="12" spans="1:25" x14ac:dyDescent="0.25">
      <c r="B12" s="228"/>
      <c r="C12" s="229"/>
      <c r="D12" s="229"/>
      <c r="E12" s="229"/>
      <c r="F12" s="230"/>
      <c r="H12" s="228"/>
      <c r="I12" s="229"/>
      <c r="J12" s="229"/>
      <c r="K12" s="229"/>
      <c r="L12" s="230"/>
      <c r="N12" s="228"/>
      <c r="O12" s="229"/>
      <c r="P12" s="229"/>
      <c r="Q12" s="229"/>
      <c r="R12" s="230"/>
      <c r="T12" s="228"/>
      <c r="U12" s="229"/>
      <c r="V12" s="229"/>
      <c r="W12" s="229"/>
      <c r="X12" s="230"/>
    </row>
    <row r="13" spans="1:25" x14ac:dyDescent="0.25">
      <c r="B13" s="228"/>
      <c r="C13" s="229"/>
      <c r="D13" s="229"/>
      <c r="E13" s="229"/>
      <c r="F13" s="230"/>
      <c r="H13" s="228"/>
      <c r="I13" s="229"/>
      <c r="J13" s="229"/>
      <c r="K13" s="229"/>
      <c r="L13" s="230"/>
      <c r="N13" s="228"/>
      <c r="O13" s="229"/>
      <c r="P13" s="229"/>
      <c r="Q13" s="229"/>
      <c r="R13" s="230"/>
      <c r="T13" s="228"/>
      <c r="U13" s="229"/>
      <c r="V13" s="229"/>
      <c r="W13" s="229"/>
      <c r="X13" s="230"/>
    </row>
    <row r="14" spans="1:25" x14ac:dyDescent="0.25">
      <c r="B14" s="228"/>
      <c r="C14" s="229"/>
      <c r="D14" s="229"/>
      <c r="E14" s="229"/>
      <c r="F14" s="230"/>
      <c r="H14" s="228"/>
      <c r="I14" s="229"/>
      <c r="J14" s="229"/>
      <c r="K14" s="229"/>
      <c r="L14" s="230"/>
      <c r="N14" s="228"/>
      <c r="O14" s="229"/>
      <c r="P14" s="229"/>
      <c r="Q14" s="229"/>
      <c r="R14" s="230"/>
      <c r="T14" s="228"/>
      <c r="U14" s="229"/>
      <c r="V14" s="229"/>
      <c r="W14" s="229"/>
      <c r="X14" s="230"/>
    </row>
    <row r="15" spans="1:25" x14ac:dyDescent="0.25">
      <c r="B15" s="228"/>
      <c r="C15" s="229"/>
      <c r="D15" s="229"/>
      <c r="E15" s="229"/>
      <c r="F15" s="230"/>
      <c r="H15" s="228"/>
      <c r="I15" s="229"/>
      <c r="J15" s="229"/>
      <c r="K15" s="229"/>
      <c r="L15" s="230"/>
      <c r="N15" s="228"/>
      <c r="O15" s="229"/>
      <c r="P15" s="229"/>
      <c r="Q15" s="229"/>
      <c r="R15" s="230"/>
      <c r="T15" s="228"/>
      <c r="U15" s="229"/>
      <c r="V15" s="229"/>
      <c r="W15" s="229"/>
      <c r="X15" s="230"/>
    </row>
    <row r="16" spans="1:25" x14ac:dyDescent="0.25">
      <c r="B16" s="228"/>
      <c r="C16" s="229"/>
      <c r="D16" s="229"/>
      <c r="E16" s="229"/>
      <c r="F16" s="230"/>
      <c r="H16" s="228"/>
      <c r="I16" s="229"/>
      <c r="J16" s="229"/>
      <c r="K16" s="229"/>
      <c r="L16" s="230"/>
      <c r="N16" s="228"/>
      <c r="O16" s="229"/>
      <c r="P16" s="229"/>
      <c r="Q16" s="229"/>
      <c r="R16" s="230"/>
      <c r="T16" s="228"/>
      <c r="U16" s="229"/>
      <c r="V16" s="229"/>
      <c r="W16" s="229"/>
      <c r="X16" s="230"/>
    </row>
    <row r="17" spans="1:25" x14ac:dyDescent="0.25">
      <c r="B17" s="228"/>
      <c r="C17" s="229"/>
      <c r="D17" s="229"/>
      <c r="E17" s="229"/>
      <c r="F17" s="230"/>
      <c r="H17" s="228"/>
      <c r="I17" s="229"/>
      <c r="J17" s="229"/>
      <c r="K17" s="229"/>
      <c r="L17" s="230"/>
      <c r="N17" s="228"/>
      <c r="O17" s="229"/>
      <c r="P17" s="229"/>
      <c r="Q17" s="229"/>
      <c r="R17" s="230"/>
      <c r="T17" s="228"/>
      <c r="U17" s="229"/>
      <c r="V17" s="229"/>
      <c r="W17" s="229"/>
      <c r="X17" s="230"/>
    </row>
    <row r="18" spans="1:25" x14ac:dyDescent="0.25">
      <c r="B18" s="228"/>
      <c r="C18" s="229"/>
      <c r="D18" s="229"/>
      <c r="E18" s="229"/>
      <c r="F18" s="230"/>
      <c r="H18" s="228"/>
      <c r="I18" s="229"/>
      <c r="J18" s="229"/>
      <c r="K18" s="229"/>
      <c r="L18" s="230"/>
      <c r="N18" s="228"/>
      <c r="O18" s="229"/>
      <c r="P18" s="229"/>
      <c r="Q18" s="229"/>
      <c r="R18" s="230"/>
      <c r="T18" s="228"/>
      <c r="U18" s="229"/>
      <c r="V18" s="229"/>
      <c r="W18" s="229"/>
      <c r="X18" s="230"/>
    </row>
    <row r="19" spans="1:25" x14ac:dyDescent="0.25">
      <c r="B19" s="228"/>
      <c r="C19" s="229"/>
      <c r="D19" s="229"/>
      <c r="E19" s="229"/>
      <c r="F19" s="230"/>
      <c r="H19" s="228"/>
      <c r="I19" s="229"/>
      <c r="J19" s="229"/>
      <c r="K19" s="229"/>
      <c r="L19" s="230"/>
      <c r="N19" s="228"/>
      <c r="O19" s="229"/>
      <c r="P19" s="229"/>
      <c r="Q19" s="229"/>
      <c r="R19" s="230"/>
      <c r="T19" s="228"/>
      <c r="U19" s="229"/>
      <c r="V19" s="229"/>
      <c r="W19" s="229"/>
      <c r="X19" s="230"/>
    </row>
    <row r="20" spans="1:25" x14ac:dyDescent="0.25">
      <c r="B20" s="228"/>
      <c r="C20" s="229"/>
      <c r="D20" s="229"/>
      <c r="E20" s="229"/>
      <c r="F20" s="230"/>
      <c r="H20" s="228"/>
      <c r="I20" s="229"/>
      <c r="J20" s="229"/>
      <c r="K20" s="229"/>
      <c r="L20" s="230"/>
      <c r="N20" s="228"/>
      <c r="O20" s="229"/>
      <c r="P20" s="229"/>
      <c r="Q20" s="229"/>
      <c r="R20" s="230"/>
      <c r="T20" s="228"/>
      <c r="U20" s="229"/>
      <c r="V20" s="229"/>
      <c r="W20" s="229"/>
      <c r="X20" s="230"/>
    </row>
    <row r="21" spans="1:25" x14ac:dyDescent="0.25">
      <c r="B21" s="228"/>
      <c r="C21" s="229"/>
      <c r="D21" s="229"/>
      <c r="E21" s="229"/>
      <c r="F21" s="230"/>
      <c r="H21" s="228"/>
      <c r="I21" s="229"/>
      <c r="J21" s="229"/>
      <c r="K21" s="229"/>
      <c r="L21" s="230"/>
      <c r="N21" s="228"/>
      <c r="O21" s="229"/>
      <c r="P21" s="229"/>
      <c r="Q21" s="229"/>
      <c r="R21" s="230"/>
      <c r="T21" s="228"/>
      <c r="U21" s="229"/>
      <c r="V21" s="229"/>
      <c r="W21" s="229"/>
      <c r="X21" s="230"/>
    </row>
    <row r="22" spans="1:25" x14ac:dyDescent="0.25">
      <c r="B22" s="228"/>
      <c r="C22" s="229"/>
      <c r="D22" s="229"/>
      <c r="E22" s="229"/>
      <c r="F22" s="230"/>
      <c r="H22" s="228"/>
      <c r="I22" s="229"/>
      <c r="J22" s="229"/>
      <c r="K22" s="229"/>
      <c r="L22" s="230"/>
      <c r="N22" s="228"/>
      <c r="O22" s="229"/>
      <c r="P22" s="229"/>
      <c r="Q22" s="229"/>
      <c r="R22" s="230"/>
      <c r="T22" s="228"/>
      <c r="U22" s="229"/>
      <c r="V22" s="229"/>
      <c r="W22" s="229"/>
      <c r="X22" s="230"/>
    </row>
    <row r="23" spans="1:25" x14ac:dyDescent="0.25">
      <c r="B23" s="228"/>
      <c r="C23" s="229"/>
      <c r="D23" s="229"/>
      <c r="E23" s="229"/>
      <c r="F23" s="230"/>
      <c r="H23" s="228"/>
      <c r="I23" s="229"/>
      <c r="J23" s="229"/>
      <c r="K23" s="229"/>
      <c r="L23" s="230"/>
      <c r="N23" s="228"/>
      <c r="O23" s="229"/>
      <c r="P23" s="229"/>
      <c r="Q23" s="229"/>
      <c r="R23" s="230"/>
      <c r="T23" s="228"/>
      <c r="U23" s="229"/>
      <c r="V23" s="229"/>
      <c r="W23" s="229"/>
      <c r="X23" s="230"/>
    </row>
    <row r="24" spans="1:25" x14ac:dyDescent="0.25">
      <c r="B24" s="228"/>
      <c r="C24" s="229"/>
      <c r="D24" s="229"/>
      <c r="E24" s="229"/>
      <c r="F24" s="230"/>
      <c r="H24" s="228"/>
      <c r="I24" s="229"/>
      <c r="J24" s="229"/>
      <c r="K24" s="229"/>
      <c r="L24" s="230"/>
      <c r="N24" s="228"/>
      <c r="O24" s="229"/>
      <c r="P24" s="229"/>
      <c r="Q24" s="229"/>
      <c r="R24" s="230"/>
      <c r="T24" s="228"/>
      <c r="U24" s="229"/>
      <c r="V24" s="229"/>
      <c r="W24" s="229"/>
      <c r="X24" s="230"/>
    </row>
    <row r="25" spans="1:25" ht="15.75" thickBot="1" x14ac:dyDescent="0.3">
      <c r="B25" s="231"/>
      <c r="C25" s="232"/>
      <c r="D25" s="232"/>
      <c r="E25" s="232"/>
      <c r="F25" s="233"/>
      <c r="H25" s="231"/>
      <c r="I25" s="232"/>
      <c r="J25" s="232"/>
      <c r="K25" s="232"/>
      <c r="L25" s="233"/>
      <c r="N25" s="231"/>
      <c r="O25" s="232"/>
      <c r="P25" s="232"/>
      <c r="Q25" s="232"/>
      <c r="R25" s="233"/>
      <c r="T25" s="231"/>
      <c r="U25" s="232"/>
      <c r="V25" s="232"/>
      <c r="W25" s="232"/>
      <c r="X25" s="233"/>
    </row>
    <row r="26" spans="1:25" ht="15.75" thickBot="1" x14ac:dyDescent="0.3"/>
    <row r="27" spans="1:25" ht="27.75" customHeight="1" thickBot="1" x14ac:dyDescent="0.3">
      <c r="B27" s="235" t="s">
        <v>113</v>
      </c>
      <c r="C27" s="236"/>
      <c r="D27" s="236"/>
      <c r="E27" s="236"/>
      <c r="F27" s="237"/>
      <c r="H27" s="235" t="s">
        <v>113</v>
      </c>
      <c r="I27" s="236"/>
      <c r="J27" s="236"/>
      <c r="K27" s="236"/>
      <c r="L27" s="237"/>
      <c r="N27" s="235" t="s">
        <v>113</v>
      </c>
      <c r="O27" s="236"/>
      <c r="P27" s="236"/>
      <c r="Q27" s="236"/>
      <c r="R27" s="237"/>
      <c r="T27" s="235" t="s">
        <v>113</v>
      </c>
      <c r="U27" s="236"/>
      <c r="V27" s="236"/>
      <c r="W27" s="236"/>
      <c r="X27" s="237"/>
    </row>
    <row r="28" spans="1:25" ht="16.5" thickBot="1" x14ac:dyDescent="0.3">
      <c r="B28" s="234" t="s">
        <v>65</v>
      </c>
      <c r="C28" s="234"/>
      <c r="D28" s="234"/>
      <c r="E28" s="234"/>
      <c r="F28" s="234"/>
      <c r="H28" s="234" t="s">
        <v>66</v>
      </c>
      <c r="I28" s="234"/>
      <c r="J28" s="234"/>
      <c r="K28" s="234"/>
      <c r="L28" s="234"/>
      <c r="N28" s="234" t="s">
        <v>67</v>
      </c>
      <c r="O28" s="234"/>
      <c r="P28" s="234"/>
      <c r="Q28" s="234"/>
      <c r="R28" s="234"/>
      <c r="T28" s="234" t="s">
        <v>68</v>
      </c>
      <c r="U28" s="234"/>
      <c r="V28" s="234"/>
      <c r="W28" s="234"/>
      <c r="X28" s="234"/>
    </row>
    <row r="29" spans="1:25" ht="21" thickBot="1" x14ac:dyDescent="0.3">
      <c r="A29" s="24"/>
      <c r="B29" s="222" t="s">
        <v>72</v>
      </c>
      <c r="C29" s="223"/>
      <c r="D29" s="223"/>
      <c r="E29" s="223"/>
      <c r="F29" s="224"/>
      <c r="G29" s="24"/>
      <c r="H29" s="222" t="s">
        <v>77</v>
      </c>
      <c r="I29" s="223"/>
      <c r="J29" s="223"/>
      <c r="K29" s="223"/>
      <c r="L29" s="224"/>
      <c r="M29" s="24"/>
      <c r="N29" s="222" t="s">
        <v>206</v>
      </c>
      <c r="O29" s="223"/>
      <c r="P29" s="223"/>
      <c r="Q29" s="223"/>
      <c r="R29" s="224"/>
      <c r="S29" s="24"/>
      <c r="T29" s="222" t="s">
        <v>71</v>
      </c>
      <c r="U29" s="223"/>
      <c r="V29" s="223"/>
      <c r="W29" s="223"/>
      <c r="X29" s="224"/>
      <c r="Y29" s="24"/>
    </row>
    <row r="30" spans="1:25" x14ac:dyDescent="0.25">
      <c r="B30" s="225"/>
      <c r="C30" s="226"/>
      <c r="D30" s="226"/>
      <c r="E30" s="226"/>
      <c r="F30" s="227"/>
      <c r="H30" s="225"/>
      <c r="I30" s="226"/>
      <c r="J30" s="226"/>
      <c r="K30" s="226"/>
      <c r="L30" s="227"/>
      <c r="N30" s="225"/>
      <c r="O30" s="226"/>
      <c r="P30" s="226"/>
      <c r="Q30" s="226"/>
      <c r="R30" s="227"/>
      <c r="T30" s="225"/>
      <c r="U30" s="226"/>
      <c r="V30" s="226"/>
      <c r="W30" s="226"/>
      <c r="X30" s="227"/>
    </row>
    <row r="31" spans="1:25" x14ac:dyDescent="0.25">
      <c r="B31" s="228"/>
      <c r="C31" s="229"/>
      <c r="D31" s="229"/>
      <c r="E31" s="229"/>
      <c r="F31" s="230"/>
      <c r="H31" s="228"/>
      <c r="I31" s="229"/>
      <c r="J31" s="229"/>
      <c r="K31" s="229"/>
      <c r="L31" s="230"/>
      <c r="N31" s="228"/>
      <c r="O31" s="229"/>
      <c r="P31" s="229"/>
      <c r="Q31" s="229"/>
      <c r="R31" s="230"/>
      <c r="T31" s="228"/>
      <c r="U31" s="229"/>
      <c r="V31" s="229"/>
      <c r="W31" s="229"/>
      <c r="X31" s="230"/>
    </row>
    <row r="32" spans="1:25" x14ac:dyDescent="0.25">
      <c r="B32" s="228"/>
      <c r="C32" s="229"/>
      <c r="D32" s="229"/>
      <c r="E32" s="229"/>
      <c r="F32" s="230"/>
      <c r="H32" s="228"/>
      <c r="I32" s="229"/>
      <c r="J32" s="229"/>
      <c r="K32" s="229"/>
      <c r="L32" s="230"/>
      <c r="N32" s="228"/>
      <c r="O32" s="229"/>
      <c r="P32" s="229"/>
      <c r="Q32" s="229"/>
      <c r="R32" s="230"/>
      <c r="T32" s="228"/>
      <c r="U32" s="229"/>
      <c r="V32" s="229"/>
      <c r="W32" s="229"/>
      <c r="X32" s="230"/>
    </row>
    <row r="33" spans="2:24" x14ac:dyDescent="0.25">
      <c r="B33" s="228"/>
      <c r="C33" s="229"/>
      <c r="D33" s="229"/>
      <c r="E33" s="229"/>
      <c r="F33" s="230"/>
      <c r="H33" s="228"/>
      <c r="I33" s="229"/>
      <c r="J33" s="229"/>
      <c r="K33" s="229"/>
      <c r="L33" s="230"/>
      <c r="N33" s="228"/>
      <c r="O33" s="229"/>
      <c r="P33" s="229"/>
      <c r="Q33" s="229"/>
      <c r="R33" s="230"/>
      <c r="T33" s="228"/>
      <c r="U33" s="229"/>
      <c r="V33" s="229"/>
      <c r="W33" s="229"/>
      <c r="X33" s="230"/>
    </row>
    <row r="34" spans="2:24" x14ac:dyDescent="0.25">
      <c r="B34" s="228"/>
      <c r="C34" s="229"/>
      <c r="D34" s="229"/>
      <c r="E34" s="229"/>
      <c r="F34" s="230"/>
      <c r="H34" s="228"/>
      <c r="I34" s="229"/>
      <c r="J34" s="229"/>
      <c r="K34" s="229"/>
      <c r="L34" s="230"/>
      <c r="N34" s="228"/>
      <c r="O34" s="229"/>
      <c r="P34" s="229"/>
      <c r="Q34" s="229"/>
      <c r="R34" s="230"/>
      <c r="T34" s="228"/>
      <c r="U34" s="229"/>
      <c r="V34" s="229"/>
      <c r="W34" s="229"/>
      <c r="X34" s="230"/>
    </row>
    <row r="35" spans="2:24" x14ac:dyDescent="0.25">
      <c r="B35" s="228"/>
      <c r="C35" s="229"/>
      <c r="D35" s="229"/>
      <c r="E35" s="229"/>
      <c r="F35" s="230"/>
      <c r="H35" s="228"/>
      <c r="I35" s="229"/>
      <c r="J35" s="229"/>
      <c r="K35" s="229"/>
      <c r="L35" s="230"/>
      <c r="N35" s="228"/>
      <c r="O35" s="229"/>
      <c r="P35" s="229"/>
      <c r="Q35" s="229"/>
      <c r="R35" s="230"/>
      <c r="T35" s="228"/>
      <c r="U35" s="229"/>
      <c r="V35" s="229"/>
      <c r="W35" s="229"/>
      <c r="X35" s="230"/>
    </row>
    <row r="36" spans="2:24" x14ac:dyDescent="0.25">
      <c r="B36" s="228"/>
      <c r="C36" s="229"/>
      <c r="D36" s="229"/>
      <c r="E36" s="229"/>
      <c r="F36" s="230"/>
      <c r="H36" s="228"/>
      <c r="I36" s="229"/>
      <c r="J36" s="229"/>
      <c r="K36" s="229"/>
      <c r="L36" s="230"/>
      <c r="N36" s="228"/>
      <c r="O36" s="229"/>
      <c r="P36" s="229"/>
      <c r="Q36" s="229"/>
      <c r="R36" s="230"/>
      <c r="T36" s="228"/>
      <c r="U36" s="229"/>
      <c r="V36" s="229"/>
      <c r="W36" s="229"/>
      <c r="X36" s="230"/>
    </row>
    <row r="37" spans="2:24" x14ac:dyDescent="0.25">
      <c r="B37" s="228"/>
      <c r="C37" s="229"/>
      <c r="D37" s="229"/>
      <c r="E37" s="229"/>
      <c r="F37" s="230"/>
      <c r="H37" s="228"/>
      <c r="I37" s="229"/>
      <c r="J37" s="229"/>
      <c r="K37" s="229"/>
      <c r="L37" s="230"/>
      <c r="N37" s="228"/>
      <c r="O37" s="229"/>
      <c r="P37" s="229"/>
      <c r="Q37" s="229"/>
      <c r="R37" s="230"/>
      <c r="T37" s="228"/>
      <c r="U37" s="229"/>
      <c r="V37" s="229"/>
      <c r="W37" s="229"/>
      <c r="X37" s="230"/>
    </row>
    <row r="38" spans="2:24" x14ac:dyDescent="0.25">
      <c r="B38" s="228"/>
      <c r="C38" s="229"/>
      <c r="D38" s="229"/>
      <c r="E38" s="229"/>
      <c r="F38" s="230"/>
      <c r="H38" s="228"/>
      <c r="I38" s="229"/>
      <c r="J38" s="229"/>
      <c r="K38" s="229"/>
      <c r="L38" s="230"/>
      <c r="N38" s="228"/>
      <c r="O38" s="229"/>
      <c r="P38" s="229"/>
      <c r="Q38" s="229"/>
      <c r="R38" s="230"/>
      <c r="T38" s="228"/>
      <c r="U38" s="229"/>
      <c r="V38" s="229"/>
      <c r="W38" s="229"/>
      <c r="X38" s="230"/>
    </row>
    <row r="39" spans="2:24" x14ac:dyDescent="0.25">
      <c r="B39" s="228"/>
      <c r="C39" s="229"/>
      <c r="D39" s="229"/>
      <c r="E39" s="229"/>
      <c r="F39" s="230"/>
      <c r="H39" s="228"/>
      <c r="I39" s="229"/>
      <c r="J39" s="229"/>
      <c r="K39" s="229"/>
      <c r="L39" s="230"/>
      <c r="N39" s="228"/>
      <c r="O39" s="229"/>
      <c r="P39" s="229"/>
      <c r="Q39" s="229"/>
      <c r="R39" s="230"/>
      <c r="T39" s="228"/>
      <c r="U39" s="229"/>
      <c r="V39" s="229"/>
      <c r="W39" s="229"/>
      <c r="X39" s="230"/>
    </row>
    <row r="40" spans="2:24" x14ac:dyDescent="0.25">
      <c r="B40" s="228"/>
      <c r="C40" s="229"/>
      <c r="D40" s="229"/>
      <c r="E40" s="229"/>
      <c r="F40" s="230"/>
      <c r="H40" s="228"/>
      <c r="I40" s="229"/>
      <c r="J40" s="229"/>
      <c r="K40" s="229"/>
      <c r="L40" s="230"/>
      <c r="N40" s="228"/>
      <c r="O40" s="229"/>
      <c r="P40" s="229"/>
      <c r="Q40" s="229"/>
      <c r="R40" s="230"/>
      <c r="T40" s="228"/>
      <c r="U40" s="229"/>
      <c r="V40" s="229"/>
      <c r="W40" s="229"/>
      <c r="X40" s="230"/>
    </row>
    <row r="41" spans="2:24" x14ac:dyDescent="0.25">
      <c r="B41" s="228"/>
      <c r="C41" s="229"/>
      <c r="D41" s="229"/>
      <c r="E41" s="229"/>
      <c r="F41" s="230"/>
      <c r="H41" s="228"/>
      <c r="I41" s="229"/>
      <c r="J41" s="229"/>
      <c r="K41" s="229"/>
      <c r="L41" s="230"/>
      <c r="N41" s="228"/>
      <c r="O41" s="229"/>
      <c r="P41" s="229"/>
      <c r="Q41" s="229"/>
      <c r="R41" s="230"/>
      <c r="T41" s="228"/>
      <c r="U41" s="229"/>
      <c r="V41" s="229"/>
      <c r="W41" s="229"/>
      <c r="X41" s="230"/>
    </row>
    <row r="42" spans="2:24" x14ac:dyDescent="0.25">
      <c r="B42" s="228"/>
      <c r="C42" s="229"/>
      <c r="D42" s="229"/>
      <c r="E42" s="229"/>
      <c r="F42" s="230"/>
      <c r="H42" s="228"/>
      <c r="I42" s="229"/>
      <c r="J42" s="229"/>
      <c r="K42" s="229"/>
      <c r="L42" s="230"/>
      <c r="N42" s="228"/>
      <c r="O42" s="229"/>
      <c r="P42" s="229"/>
      <c r="Q42" s="229"/>
      <c r="R42" s="230"/>
      <c r="T42" s="228"/>
      <c r="U42" s="229"/>
      <c r="V42" s="229"/>
      <c r="W42" s="229"/>
      <c r="X42" s="230"/>
    </row>
    <row r="43" spans="2:24" x14ac:dyDescent="0.25">
      <c r="B43" s="228"/>
      <c r="C43" s="229"/>
      <c r="D43" s="229"/>
      <c r="E43" s="229"/>
      <c r="F43" s="230"/>
      <c r="H43" s="228"/>
      <c r="I43" s="229"/>
      <c r="J43" s="229"/>
      <c r="K43" s="229"/>
      <c r="L43" s="230"/>
      <c r="N43" s="228"/>
      <c r="O43" s="229"/>
      <c r="P43" s="229"/>
      <c r="Q43" s="229"/>
      <c r="R43" s="230"/>
      <c r="T43" s="228"/>
      <c r="U43" s="229"/>
      <c r="V43" s="229"/>
      <c r="W43" s="229"/>
      <c r="X43" s="230"/>
    </row>
    <row r="44" spans="2:24" x14ac:dyDescent="0.25">
      <c r="B44" s="228"/>
      <c r="C44" s="229"/>
      <c r="D44" s="229"/>
      <c r="E44" s="229"/>
      <c r="F44" s="230"/>
      <c r="H44" s="228"/>
      <c r="I44" s="229"/>
      <c r="J44" s="229"/>
      <c r="K44" s="229"/>
      <c r="L44" s="230"/>
      <c r="N44" s="228"/>
      <c r="O44" s="229"/>
      <c r="P44" s="229"/>
      <c r="Q44" s="229"/>
      <c r="R44" s="230"/>
      <c r="T44" s="228"/>
      <c r="U44" s="229"/>
      <c r="V44" s="229"/>
      <c r="W44" s="229"/>
      <c r="X44" s="230"/>
    </row>
    <row r="45" spans="2:24" x14ac:dyDescent="0.25">
      <c r="B45" s="228"/>
      <c r="C45" s="229"/>
      <c r="D45" s="229"/>
      <c r="E45" s="229"/>
      <c r="F45" s="230"/>
      <c r="H45" s="228"/>
      <c r="I45" s="229"/>
      <c r="J45" s="229"/>
      <c r="K45" s="229"/>
      <c r="L45" s="230"/>
      <c r="N45" s="228"/>
      <c r="O45" s="229"/>
      <c r="P45" s="229"/>
      <c r="Q45" s="229"/>
      <c r="R45" s="230"/>
      <c r="T45" s="228"/>
      <c r="U45" s="229"/>
      <c r="V45" s="229"/>
      <c r="W45" s="229"/>
      <c r="X45" s="230"/>
    </row>
    <row r="46" spans="2:24" x14ac:dyDescent="0.25">
      <c r="B46" s="228"/>
      <c r="C46" s="229"/>
      <c r="D46" s="229"/>
      <c r="E46" s="229"/>
      <c r="F46" s="230"/>
      <c r="H46" s="228"/>
      <c r="I46" s="229"/>
      <c r="J46" s="229"/>
      <c r="K46" s="229"/>
      <c r="L46" s="230"/>
      <c r="N46" s="228"/>
      <c r="O46" s="229"/>
      <c r="P46" s="229"/>
      <c r="Q46" s="229"/>
      <c r="R46" s="230"/>
      <c r="T46" s="228"/>
      <c r="U46" s="229"/>
      <c r="V46" s="229"/>
      <c r="W46" s="229"/>
      <c r="X46" s="230"/>
    </row>
    <row r="47" spans="2:24" x14ac:dyDescent="0.25">
      <c r="B47" s="228"/>
      <c r="C47" s="229"/>
      <c r="D47" s="229"/>
      <c r="E47" s="229"/>
      <c r="F47" s="230"/>
      <c r="H47" s="228"/>
      <c r="I47" s="229"/>
      <c r="J47" s="229"/>
      <c r="K47" s="229"/>
      <c r="L47" s="230"/>
      <c r="N47" s="228"/>
      <c r="O47" s="229"/>
      <c r="P47" s="229"/>
      <c r="Q47" s="229"/>
      <c r="R47" s="230"/>
      <c r="T47" s="228"/>
      <c r="U47" s="229"/>
      <c r="V47" s="229"/>
      <c r="W47" s="229"/>
      <c r="X47" s="230"/>
    </row>
    <row r="48" spans="2:24" ht="15.75" thickBot="1" x14ac:dyDescent="0.3">
      <c r="B48" s="231"/>
      <c r="C48" s="232"/>
      <c r="D48" s="232"/>
      <c r="E48" s="232"/>
      <c r="F48" s="233"/>
      <c r="H48" s="231"/>
      <c r="I48" s="232"/>
      <c r="J48" s="232"/>
      <c r="K48" s="232"/>
      <c r="L48" s="233"/>
      <c r="N48" s="231"/>
      <c r="O48" s="232"/>
      <c r="P48" s="232"/>
      <c r="Q48" s="232"/>
      <c r="R48" s="233"/>
      <c r="T48" s="231"/>
      <c r="U48" s="232"/>
      <c r="V48" s="232"/>
      <c r="W48" s="232"/>
      <c r="X48" s="233"/>
    </row>
  </sheetData>
  <mergeCells count="33">
    <mergeCell ref="B29:F29"/>
    <mergeCell ref="H29:L29"/>
    <mergeCell ref="N29:R29"/>
    <mergeCell ref="T29:X29"/>
    <mergeCell ref="B30:F48"/>
    <mergeCell ref="H30:L48"/>
    <mergeCell ref="N30:R48"/>
    <mergeCell ref="T30:X48"/>
    <mergeCell ref="B2:X3"/>
    <mergeCell ref="B5:F5"/>
    <mergeCell ref="H5:L5"/>
    <mergeCell ref="N5:R5"/>
    <mergeCell ref="T5:X5"/>
    <mergeCell ref="B4:F4"/>
    <mergeCell ref="H4:L4"/>
    <mergeCell ref="N4:R4"/>
    <mergeCell ref="T4:X4"/>
    <mergeCell ref="B28:F28"/>
    <mergeCell ref="H28:L28"/>
    <mergeCell ref="N28:R28"/>
    <mergeCell ref="T28:X28"/>
    <mergeCell ref="B27:F27"/>
    <mergeCell ref="H27:L27"/>
    <mergeCell ref="N27:R27"/>
    <mergeCell ref="T27:X27"/>
    <mergeCell ref="B6:F6"/>
    <mergeCell ref="H6:L6"/>
    <mergeCell ref="N6:R6"/>
    <mergeCell ref="T6:X6"/>
    <mergeCell ref="B7:F25"/>
    <mergeCell ref="H7:L25"/>
    <mergeCell ref="N7:R25"/>
    <mergeCell ref="T7:X2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AD336"/>
  <sheetViews>
    <sheetView zoomScaleNormal="100" zoomScaleSheetLayoutView="110" workbookViewId="0">
      <selection activeCell="R28" sqref="R28"/>
    </sheetView>
  </sheetViews>
  <sheetFormatPr defaultRowHeight="15" x14ac:dyDescent="0.25"/>
  <cols>
    <col min="1" max="12" width="6" style="1" customWidth="1"/>
    <col min="13" max="13" width="1" style="1" customWidth="1"/>
    <col min="14" max="14" width="3.28515625" style="1" customWidth="1"/>
    <col min="15" max="15" width="8.28515625" style="1" bestFit="1" customWidth="1"/>
    <col min="16" max="16" width="8.5703125" style="1" customWidth="1"/>
    <col min="17" max="17" width="4.5703125" style="1" customWidth="1"/>
    <col min="18" max="18" width="5.140625" style="1" customWidth="1"/>
    <col min="19" max="19" width="3.5703125" style="1" customWidth="1"/>
    <col min="20" max="20" width="5.85546875" style="1" customWidth="1"/>
    <col min="21" max="21" width="1.140625" style="1" customWidth="1"/>
    <col min="22" max="22" width="2.85546875" style="1" customWidth="1"/>
    <col min="23" max="23" width="3.7109375" style="1" customWidth="1"/>
    <col min="24" max="24" width="2.7109375" style="1" customWidth="1"/>
    <col min="25" max="26" width="4.140625" style="1" customWidth="1"/>
    <col min="27" max="27" width="1.42578125" style="1" customWidth="1"/>
    <col min="28" max="29" width="5.42578125" style="1" customWidth="1"/>
    <col min="30" max="30" width="4.140625" style="1" customWidth="1"/>
    <col min="31" max="16384" width="9.140625" style="1"/>
  </cols>
  <sheetData>
    <row r="1" spans="1:30" ht="5.25" customHeight="1" x14ac:dyDescent="0.25"/>
    <row r="2" spans="1:30" ht="15" customHeight="1" x14ac:dyDescent="0.25">
      <c r="A2" s="172" t="s">
        <v>21</v>
      </c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V2" s="173" t="s">
        <v>22</v>
      </c>
      <c r="W2" s="173"/>
      <c r="X2" s="173"/>
      <c r="Y2" s="173" t="s">
        <v>80</v>
      </c>
      <c r="Z2" s="173"/>
      <c r="AA2" s="173"/>
      <c r="AB2" s="173" t="s">
        <v>100</v>
      </c>
      <c r="AC2" s="173"/>
      <c r="AD2" s="25"/>
    </row>
    <row r="3" spans="1:30" ht="11.25" customHeight="1" x14ac:dyDescent="0.25">
      <c r="A3" s="172"/>
      <c r="B3" s="172"/>
      <c r="C3" s="172"/>
      <c r="D3" s="172"/>
      <c r="E3" s="172"/>
      <c r="F3" s="172"/>
      <c r="G3" s="172"/>
      <c r="H3" s="172"/>
      <c r="I3" s="172"/>
      <c r="J3" s="172"/>
      <c r="K3" s="172"/>
      <c r="L3" s="172"/>
      <c r="M3" s="172"/>
      <c r="N3" s="172"/>
      <c r="O3" s="172"/>
      <c r="P3" s="172"/>
      <c r="Q3" s="172"/>
      <c r="R3" s="172"/>
      <c r="S3" s="172"/>
      <c r="T3" s="172"/>
      <c r="V3" s="174"/>
      <c r="W3" s="174"/>
      <c r="X3" s="174"/>
      <c r="Y3" s="174"/>
      <c r="Z3" s="174"/>
      <c r="AA3" s="174"/>
      <c r="AB3" s="174"/>
      <c r="AC3" s="174"/>
      <c r="AD3" s="25"/>
    </row>
    <row r="4" spans="1:30" ht="11.25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V4" s="174"/>
      <c r="W4" s="174"/>
      <c r="X4" s="174"/>
      <c r="Y4" s="174"/>
      <c r="Z4" s="174"/>
      <c r="AA4" s="174"/>
      <c r="AB4" s="174"/>
      <c r="AC4" s="174"/>
      <c r="AD4" s="25"/>
    </row>
    <row r="5" spans="1:30" s="2" customFormat="1" ht="3.75" customHeight="1" x14ac:dyDescent="0.2"/>
    <row r="6" spans="1:30" s="2" customFormat="1" ht="3.75" customHeight="1" x14ac:dyDescent="0.2"/>
    <row r="7" spans="1:30" s="2" customFormat="1" ht="15.75" customHeight="1" x14ac:dyDescent="0.2">
      <c r="A7" s="184" t="s">
        <v>91</v>
      </c>
      <c r="B7" s="185"/>
      <c r="C7" s="185"/>
      <c r="D7" s="185"/>
      <c r="E7" s="185"/>
      <c r="F7" s="185"/>
      <c r="G7" s="185"/>
      <c r="H7" s="185"/>
      <c r="I7" s="185"/>
      <c r="J7" s="185"/>
      <c r="K7" s="185"/>
      <c r="L7" s="185"/>
      <c r="N7" s="186" t="s">
        <v>94</v>
      </c>
      <c r="O7" s="187"/>
      <c r="P7" s="187"/>
      <c r="Q7" s="187"/>
      <c r="R7" s="187"/>
      <c r="S7" s="187"/>
      <c r="T7" s="187"/>
      <c r="U7" s="26"/>
      <c r="V7" s="188" t="s">
        <v>23</v>
      </c>
      <c r="W7" s="188"/>
      <c r="X7" s="188"/>
      <c r="Y7" s="188"/>
      <c r="Z7" s="188"/>
      <c r="AA7" s="188"/>
      <c r="AB7" s="188"/>
      <c r="AC7" s="188"/>
      <c r="AD7" s="26"/>
    </row>
    <row r="8" spans="1:30" s="2" customFormat="1" ht="15.75" customHeight="1" x14ac:dyDescent="0.2">
      <c r="A8" s="185"/>
      <c r="B8" s="185"/>
      <c r="C8" s="185"/>
      <c r="D8" s="185"/>
      <c r="E8" s="185"/>
      <c r="F8" s="185"/>
      <c r="G8" s="185"/>
      <c r="H8" s="185"/>
      <c r="I8" s="185"/>
      <c r="J8" s="185"/>
      <c r="K8" s="185"/>
      <c r="L8" s="185"/>
      <c r="N8" s="187"/>
      <c r="O8" s="187"/>
      <c r="P8" s="187"/>
      <c r="Q8" s="187"/>
      <c r="R8" s="187"/>
      <c r="S8" s="187"/>
      <c r="T8" s="187"/>
      <c r="U8" s="26"/>
      <c r="V8" s="188"/>
      <c r="W8" s="188"/>
      <c r="X8" s="188"/>
      <c r="Y8" s="188"/>
      <c r="Z8" s="188"/>
      <c r="AA8" s="188"/>
      <c r="AB8" s="188"/>
      <c r="AC8" s="188"/>
      <c r="AD8" s="26"/>
    </row>
    <row r="9" spans="1:30" s="2" customFormat="1" ht="11.25" customHeight="1" x14ac:dyDescent="0.2">
      <c r="A9" s="185"/>
      <c r="B9" s="185"/>
      <c r="C9" s="185"/>
      <c r="D9" s="185"/>
      <c r="E9" s="185"/>
      <c r="F9" s="185"/>
      <c r="G9" s="185"/>
      <c r="H9" s="185"/>
      <c r="I9" s="185"/>
      <c r="J9" s="185"/>
      <c r="K9" s="185"/>
      <c r="L9" s="185"/>
      <c r="N9" s="187" t="s">
        <v>24</v>
      </c>
      <c r="O9" s="186" t="s">
        <v>83</v>
      </c>
      <c r="P9" s="186" t="s">
        <v>25</v>
      </c>
      <c r="Q9" s="186" t="s">
        <v>84</v>
      </c>
      <c r="R9" s="186" t="s">
        <v>26</v>
      </c>
      <c r="S9" s="186" t="s">
        <v>27</v>
      </c>
      <c r="T9" s="186" t="s">
        <v>28</v>
      </c>
      <c r="U9" s="26"/>
      <c r="V9" s="189" t="s">
        <v>29</v>
      </c>
      <c r="W9" s="190"/>
      <c r="X9" s="190"/>
      <c r="Y9" s="190"/>
      <c r="Z9" s="190"/>
      <c r="AA9" s="190"/>
      <c r="AB9" s="29" t="s">
        <v>30</v>
      </c>
      <c r="AC9" s="29" t="s">
        <v>31</v>
      </c>
      <c r="AD9" s="26"/>
    </row>
    <row r="10" spans="1:30" s="2" customFormat="1" ht="11.25" customHeight="1" x14ac:dyDescent="0.2">
      <c r="A10" s="185"/>
      <c r="B10" s="185"/>
      <c r="C10" s="185"/>
      <c r="D10" s="185"/>
      <c r="E10" s="185"/>
      <c r="F10" s="185"/>
      <c r="G10" s="185"/>
      <c r="H10" s="185"/>
      <c r="I10" s="185"/>
      <c r="J10" s="185"/>
      <c r="K10" s="185"/>
      <c r="L10" s="185"/>
      <c r="N10" s="187"/>
      <c r="O10" s="187"/>
      <c r="P10" s="187"/>
      <c r="Q10" s="186"/>
      <c r="R10" s="186"/>
      <c r="S10" s="186"/>
      <c r="T10" s="186"/>
      <c r="U10" s="26"/>
      <c r="V10" s="190"/>
      <c r="W10" s="190"/>
      <c r="X10" s="190"/>
      <c r="Y10" s="190"/>
      <c r="Z10" s="190"/>
      <c r="AA10" s="190"/>
      <c r="AB10" s="29"/>
      <c r="AC10" s="30" t="s">
        <v>106</v>
      </c>
      <c r="AD10" s="26"/>
    </row>
    <row r="11" spans="1:30" s="2" customFormat="1" ht="12.75" customHeight="1" x14ac:dyDescent="0.2">
      <c r="A11" s="185"/>
      <c r="B11" s="185"/>
      <c r="C11" s="185"/>
      <c r="D11" s="185"/>
      <c r="E11" s="185"/>
      <c r="F11" s="185"/>
      <c r="G11" s="185"/>
      <c r="H11" s="185"/>
      <c r="I11" s="185"/>
      <c r="J11" s="185"/>
      <c r="K11" s="185"/>
      <c r="L11" s="185"/>
      <c r="N11" s="187"/>
      <c r="O11" s="187"/>
      <c r="P11" s="187"/>
      <c r="Q11" s="186"/>
      <c r="R11" s="186"/>
      <c r="S11" s="186"/>
      <c r="T11" s="186"/>
      <c r="U11" s="26"/>
      <c r="V11" s="179" t="s">
        <v>34</v>
      </c>
      <c r="W11" s="180"/>
      <c r="X11" s="180"/>
      <c r="Y11" s="180"/>
      <c r="Z11" s="180"/>
      <c r="AA11" s="180"/>
      <c r="AB11" s="181"/>
      <c r="AC11" s="181"/>
      <c r="AD11" s="26"/>
    </row>
    <row r="12" spans="1:30" s="2" customFormat="1" ht="11.25" customHeight="1" x14ac:dyDescent="0.2">
      <c r="A12" s="175"/>
      <c r="B12" s="175"/>
      <c r="C12" s="175"/>
      <c r="D12" s="175"/>
      <c r="E12" s="175"/>
      <c r="F12" s="175"/>
      <c r="G12" s="175"/>
      <c r="H12" s="175"/>
      <c r="I12" s="175"/>
      <c r="J12" s="175"/>
      <c r="K12" s="175"/>
      <c r="L12" s="175"/>
      <c r="N12" s="176">
        <v>1</v>
      </c>
      <c r="O12" s="177" t="s">
        <v>41</v>
      </c>
      <c r="P12" s="177" t="s">
        <v>105</v>
      </c>
      <c r="Q12" s="31" t="s">
        <v>32</v>
      </c>
      <c r="R12" s="32">
        <v>0.7</v>
      </c>
      <c r="S12" s="32">
        <v>17</v>
      </c>
      <c r="T12" s="32">
        <f>R12*S12</f>
        <v>11.899999999999999</v>
      </c>
      <c r="U12" s="26"/>
      <c r="V12" s="180"/>
      <c r="W12" s="180"/>
      <c r="X12" s="180"/>
      <c r="Y12" s="180"/>
      <c r="Z12" s="180"/>
      <c r="AA12" s="180"/>
      <c r="AB12" s="181"/>
      <c r="AC12" s="181"/>
      <c r="AD12" s="26"/>
    </row>
    <row r="13" spans="1:30" s="2" customFormat="1" ht="11.25" customHeight="1" x14ac:dyDescent="0.2">
      <c r="A13" s="175"/>
      <c r="B13" s="175"/>
      <c r="C13" s="175"/>
      <c r="D13" s="175"/>
      <c r="E13" s="175"/>
      <c r="F13" s="175"/>
      <c r="G13" s="175"/>
      <c r="H13" s="175"/>
      <c r="I13" s="175"/>
      <c r="J13" s="175"/>
      <c r="K13" s="175"/>
      <c r="L13" s="175"/>
      <c r="N13" s="176"/>
      <c r="O13" s="178"/>
      <c r="P13" s="178"/>
      <c r="Q13" s="31" t="s">
        <v>33</v>
      </c>
      <c r="R13" s="32"/>
      <c r="S13" s="32"/>
      <c r="T13" s="32">
        <f t="shared" ref="T13:T49" si="0">R13*S13</f>
        <v>0</v>
      </c>
      <c r="U13" s="26"/>
      <c r="V13" s="179" t="s">
        <v>35</v>
      </c>
      <c r="W13" s="180"/>
      <c r="X13" s="180"/>
      <c r="Y13" s="180"/>
      <c r="Z13" s="180"/>
      <c r="AA13" s="180"/>
      <c r="AB13" s="181"/>
      <c r="AC13" s="182" t="s">
        <v>106</v>
      </c>
      <c r="AD13" s="26"/>
    </row>
    <row r="14" spans="1:30" s="2" customFormat="1" ht="11.25" customHeight="1" x14ac:dyDescent="0.2">
      <c r="A14" s="175"/>
      <c r="B14" s="175"/>
      <c r="C14" s="175"/>
      <c r="D14" s="175"/>
      <c r="E14" s="175"/>
      <c r="F14" s="175"/>
      <c r="G14" s="175"/>
      <c r="H14" s="175"/>
      <c r="I14" s="175"/>
      <c r="J14" s="175"/>
      <c r="K14" s="175"/>
      <c r="L14" s="175"/>
      <c r="N14" s="176">
        <v>2</v>
      </c>
      <c r="O14" s="177" t="s">
        <v>41</v>
      </c>
      <c r="P14" s="177" t="s">
        <v>43</v>
      </c>
      <c r="Q14" s="31" t="s">
        <v>32</v>
      </c>
      <c r="R14" s="32">
        <v>0.5</v>
      </c>
      <c r="S14" s="32">
        <v>4</v>
      </c>
      <c r="T14" s="32">
        <f t="shared" si="0"/>
        <v>2</v>
      </c>
      <c r="U14" s="26"/>
      <c r="V14" s="180"/>
      <c r="W14" s="180"/>
      <c r="X14" s="180"/>
      <c r="Y14" s="180"/>
      <c r="Z14" s="180"/>
      <c r="AA14" s="180"/>
      <c r="AB14" s="181"/>
      <c r="AC14" s="183"/>
      <c r="AD14" s="26"/>
    </row>
    <row r="15" spans="1:30" s="2" customFormat="1" ht="11.25" customHeight="1" x14ac:dyDescent="0.2">
      <c r="A15" s="175"/>
      <c r="B15" s="175"/>
      <c r="C15" s="175"/>
      <c r="D15" s="175"/>
      <c r="E15" s="175"/>
      <c r="F15" s="175"/>
      <c r="G15" s="175"/>
      <c r="H15" s="175"/>
      <c r="I15" s="175"/>
      <c r="J15" s="175"/>
      <c r="K15" s="175"/>
      <c r="L15" s="175"/>
      <c r="N15" s="176"/>
      <c r="O15" s="178"/>
      <c r="P15" s="178"/>
      <c r="Q15" s="31" t="s">
        <v>33</v>
      </c>
      <c r="R15" s="32"/>
      <c r="S15" s="32"/>
      <c r="T15" s="32">
        <f t="shared" si="0"/>
        <v>0</v>
      </c>
      <c r="U15" s="26"/>
      <c r="V15" s="26"/>
      <c r="W15" s="26"/>
      <c r="X15" s="26"/>
      <c r="Y15" s="26"/>
      <c r="Z15" s="26"/>
      <c r="AA15" s="26"/>
      <c r="AB15" s="26"/>
      <c r="AC15" s="26"/>
      <c r="AD15" s="26"/>
    </row>
    <row r="16" spans="1:30" s="2" customFormat="1" ht="11.25" customHeight="1" x14ac:dyDescent="0.2">
      <c r="A16" s="175"/>
      <c r="B16" s="175"/>
      <c r="C16" s="175"/>
      <c r="D16" s="175"/>
      <c r="E16" s="175"/>
      <c r="F16" s="175"/>
      <c r="G16" s="175"/>
      <c r="H16" s="175"/>
      <c r="I16" s="175"/>
      <c r="J16" s="175"/>
      <c r="K16" s="175"/>
      <c r="L16" s="175"/>
      <c r="N16" s="176">
        <v>3</v>
      </c>
      <c r="O16" s="177" t="s">
        <v>41</v>
      </c>
      <c r="P16" s="177" t="s">
        <v>44</v>
      </c>
      <c r="Q16" s="31" t="s">
        <v>32</v>
      </c>
      <c r="R16" s="32">
        <v>0.5</v>
      </c>
      <c r="S16" s="32">
        <v>4</v>
      </c>
      <c r="T16" s="32">
        <f t="shared" si="0"/>
        <v>2</v>
      </c>
      <c r="U16" s="26"/>
      <c r="V16" s="26"/>
      <c r="W16" s="26"/>
      <c r="X16" s="26"/>
      <c r="Y16" s="26"/>
      <c r="Z16" s="26"/>
      <c r="AA16" s="26"/>
      <c r="AB16" s="26"/>
      <c r="AC16" s="26"/>
      <c r="AD16" s="26"/>
    </row>
    <row r="17" spans="1:30" s="2" customFormat="1" ht="11.25" customHeight="1" x14ac:dyDescent="0.2">
      <c r="A17" s="175"/>
      <c r="B17" s="175"/>
      <c r="C17" s="175"/>
      <c r="D17" s="175"/>
      <c r="E17" s="175"/>
      <c r="F17" s="175"/>
      <c r="G17" s="175"/>
      <c r="H17" s="175"/>
      <c r="I17" s="175"/>
      <c r="J17" s="175"/>
      <c r="K17" s="175"/>
      <c r="L17" s="175"/>
      <c r="N17" s="176"/>
      <c r="O17" s="178"/>
      <c r="P17" s="178"/>
      <c r="Q17" s="31" t="s">
        <v>33</v>
      </c>
      <c r="R17" s="32"/>
      <c r="S17" s="32"/>
      <c r="T17" s="32">
        <f t="shared" si="0"/>
        <v>0</v>
      </c>
      <c r="U17" s="26"/>
      <c r="V17" s="191" t="s">
        <v>81</v>
      </c>
      <c r="W17" s="192" t="s">
        <v>95</v>
      </c>
      <c r="X17" s="193"/>
      <c r="Y17" s="193"/>
      <c r="Z17" s="193"/>
      <c r="AA17" s="194"/>
      <c r="AB17" s="198" t="s">
        <v>107</v>
      </c>
      <c r="AC17" s="198"/>
      <c r="AD17" s="26"/>
    </row>
    <row r="18" spans="1:30" s="2" customFormat="1" ht="11.25" customHeight="1" x14ac:dyDescent="0.2">
      <c r="A18" s="175"/>
      <c r="B18" s="175"/>
      <c r="C18" s="175"/>
      <c r="D18" s="175"/>
      <c r="E18" s="175"/>
      <c r="F18" s="175"/>
      <c r="G18" s="175"/>
      <c r="H18" s="175"/>
      <c r="I18" s="175"/>
      <c r="J18" s="175"/>
      <c r="K18" s="175"/>
      <c r="L18" s="175"/>
      <c r="N18" s="176">
        <v>4</v>
      </c>
      <c r="O18" s="177" t="s">
        <v>45</v>
      </c>
      <c r="P18" s="186" t="s">
        <v>46</v>
      </c>
      <c r="Q18" s="31" t="s">
        <v>32</v>
      </c>
      <c r="R18" s="32">
        <v>0.1</v>
      </c>
      <c r="S18" s="32">
        <v>23</v>
      </c>
      <c r="T18" s="32">
        <f t="shared" si="0"/>
        <v>2.3000000000000003</v>
      </c>
      <c r="U18" s="26"/>
      <c r="V18" s="191"/>
      <c r="W18" s="195"/>
      <c r="X18" s="196"/>
      <c r="Y18" s="196"/>
      <c r="Z18" s="196"/>
      <c r="AA18" s="197"/>
      <c r="AB18" s="198"/>
      <c r="AC18" s="198"/>
      <c r="AD18" s="26"/>
    </row>
    <row r="19" spans="1:30" s="2" customFormat="1" ht="11.25" customHeight="1" x14ac:dyDescent="0.2">
      <c r="A19" s="175"/>
      <c r="B19" s="175"/>
      <c r="C19" s="175"/>
      <c r="D19" s="175"/>
      <c r="E19" s="175"/>
      <c r="F19" s="175"/>
      <c r="G19" s="175"/>
      <c r="H19" s="175"/>
      <c r="I19" s="175"/>
      <c r="J19" s="175"/>
      <c r="K19" s="175"/>
      <c r="L19" s="175"/>
      <c r="N19" s="176"/>
      <c r="O19" s="178"/>
      <c r="P19" s="186"/>
      <c r="Q19" s="31" t="s">
        <v>33</v>
      </c>
      <c r="R19" s="32"/>
      <c r="S19" s="32"/>
      <c r="T19" s="32">
        <f t="shared" si="0"/>
        <v>0</v>
      </c>
      <c r="U19" s="26"/>
      <c r="V19" s="191"/>
      <c r="W19" s="179" t="s">
        <v>85</v>
      </c>
      <c r="X19" s="180"/>
      <c r="Y19" s="180"/>
      <c r="Z19" s="180"/>
      <c r="AA19" s="180"/>
      <c r="AB19" s="199">
        <v>42947</v>
      </c>
      <c r="AC19" s="188"/>
      <c r="AD19" s="26"/>
    </row>
    <row r="20" spans="1:30" s="2" customFormat="1" ht="11.25" customHeight="1" x14ac:dyDescent="0.2">
      <c r="A20" s="175"/>
      <c r="B20" s="175"/>
      <c r="C20" s="175"/>
      <c r="D20" s="175"/>
      <c r="E20" s="175"/>
      <c r="F20" s="175"/>
      <c r="G20" s="175"/>
      <c r="H20" s="175"/>
      <c r="I20" s="175"/>
      <c r="J20" s="175"/>
      <c r="K20" s="175"/>
      <c r="L20" s="175"/>
      <c r="N20" s="176">
        <v>5</v>
      </c>
      <c r="O20" s="177" t="s">
        <v>47</v>
      </c>
      <c r="P20" s="186" t="s">
        <v>48</v>
      </c>
      <c r="Q20" s="31" t="s">
        <v>32</v>
      </c>
      <c r="R20" s="32">
        <v>0.1</v>
      </c>
      <c r="S20" s="32">
        <v>6</v>
      </c>
      <c r="T20" s="32">
        <f t="shared" si="0"/>
        <v>0.60000000000000009</v>
      </c>
      <c r="U20" s="26"/>
      <c r="V20" s="191"/>
      <c r="W20" s="180"/>
      <c r="X20" s="180"/>
      <c r="Y20" s="180"/>
      <c r="Z20" s="180"/>
      <c r="AA20" s="180"/>
      <c r="AB20" s="188"/>
      <c r="AC20" s="188"/>
      <c r="AD20" s="26"/>
    </row>
    <row r="21" spans="1:30" s="2" customFormat="1" ht="11.25" customHeight="1" x14ac:dyDescent="0.2">
      <c r="A21" s="175"/>
      <c r="B21" s="175"/>
      <c r="C21" s="175"/>
      <c r="D21" s="175"/>
      <c r="E21" s="175"/>
      <c r="F21" s="175"/>
      <c r="G21" s="175"/>
      <c r="H21" s="175"/>
      <c r="I21" s="175"/>
      <c r="J21" s="175"/>
      <c r="K21" s="175"/>
      <c r="L21" s="175"/>
      <c r="N21" s="176"/>
      <c r="O21" s="178"/>
      <c r="P21" s="186"/>
      <c r="Q21" s="31" t="s">
        <v>33</v>
      </c>
      <c r="R21" s="32"/>
      <c r="S21" s="32"/>
      <c r="T21" s="32">
        <f t="shared" si="0"/>
        <v>0</v>
      </c>
      <c r="U21" s="26"/>
      <c r="V21" s="191"/>
      <c r="W21" s="179" t="s">
        <v>82</v>
      </c>
      <c r="X21" s="180"/>
      <c r="Y21" s="180"/>
      <c r="Z21" s="180"/>
      <c r="AA21" s="180"/>
      <c r="AB21" s="188">
        <v>10</v>
      </c>
      <c r="AC21" s="188"/>
      <c r="AD21" s="26"/>
    </row>
    <row r="22" spans="1:30" s="2" customFormat="1" ht="11.25" customHeight="1" x14ac:dyDescent="0.2">
      <c r="A22" s="175"/>
      <c r="B22" s="175"/>
      <c r="C22" s="175"/>
      <c r="D22" s="175"/>
      <c r="E22" s="175"/>
      <c r="F22" s="175"/>
      <c r="G22" s="175"/>
      <c r="H22" s="175"/>
      <c r="I22" s="175"/>
      <c r="J22" s="175"/>
      <c r="K22" s="175"/>
      <c r="L22" s="175"/>
      <c r="N22" s="176">
        <v>6</v>
      </c>
      <c r="O22" s="177" t="s">
        <v>49</v>
      </c>
      <c r="P22" s="186" t="s">
        <v>50</v>
      </c>
      <c r="Q22" s="31" t="s">
        <v>32</v>
      </c>
      <c r="R22" s="32">
        <v>0.1</v>
      </c>
      <c r="S22" s="32">
        <v>5</v>
      </c>
      <c r="T22" s="32">
        <f t="shared" si="0"/>
        <v>0.5</v>
      </c>
      <c r="U22" s="26"/>
      <c r="V22" s="191"/>
      <c r="W22" s="180"/>
      <c r="X22" s="180"/>
      <c r="Y22" s="180"/>
      <c r="Z22" s="180"/>
      <c r="AA22" s="180"/>
      <c r="AB22" s="188"/>
      <c r="AC22" s="188"/>
      <c r="AD22" s="26"/>
    </row>
    <row r="23" spans="1:30" s="2" customFormat="1" ht="11.25" customHeight="1" x14ac:dyDescent="0.2">
      <c r="A23" s="175"/>
      <c r="B23" s="175"/>
      <c r="C23" s="175"/>
      <c r="D23" s="175"/>
      <c r="E23" s="175"/>
      <c r="F23" s="175"/>
      <c r="G23" s="175"/>
      <c r="H23" s="175"/>
      <c r="I23" s="175"/>
      <c r="J23" s="175"/>
      <c r="K23" s="175"/>
      <c r="L23" s="175"/>
      <c r="N23" s="176"/>
      <c r="O23" s="178"/>
      <c r="P23" s="186"/>
      <c r="Q23" s="31" t="s">
        <v>33</v>
      </c>
      <c r="R23" s="32"/>
      <c r="S23" s="32"/>
      <c r="T23" s="32">
        <f t="shared" si="0"/>
        <v>0</v>
      </c>
      <c r="U23" s="26"/>
      <c r="V23" s="191"/>
      <c r="W23" s="179" t="s">
        <v>86</v>
      </c>
      <c r="X23" s="180"/>
      <c r="Y23" s="180"/>
      <c r="Z23" s="180"/>
      <c r="AA23" s="180"/>
      <c r="AB23" s="188"/>
      <c r="AC23" s="188"/>
      <c r="AD23" s="26"/>
    </row>
    <row r="24" spans="1:30" s="2" customFormat="1" ht="11.25" customHeight="1" x14ac:dyDescent="0.2">
      <c r="A24" s="175"/>
      <c r="B24" s="175"/>
      <c r="C24" s="175"/>
      <c r="D24" s="175"/>
      <c r="E24" s="175"/>
      <c r="F24" s="175"/>
      <c r="G24" s="175"/>
      <c r="H24" s="175"/>
      <c r="I24" s="175"/>
      <c r="J24" s="175"/>
      <c r="K24" s="175"/>
      <c r="L24" s="175"/>
      <c r="N24" s="176">
        <v>7</v>
      </c>
      <c r="O24" s="177" t="s">
        <v>56</v>
      </c>
      <c r="P24" s="186" t="s">
        <v>57</v>
      </c>
      <c r="Q24" s="31" t="s">
        <v>32</v>
      </c>
      <c r="R24" s="32">
        <v>1.5</v>
      </c>
      <c r="S24" s="32">
        <v>1</v>
      </c>
      <c r="T24" s="32">
        <f t="shared" si="0"/>
        <v>1.5</v>
      </c>
      <c r="U24" s="26"/>
      <c r="V24" s="191"/>
      <c r="W24" s="180"/>
      <c r="X24" s="180"/>
      <c r="Y24" s="180"/>
      <c r="Z24" s="180"/>
      <c r="AA24" s="180"/>
      <c r="AB24" s="188"/>
      <c r="AC24" s="188"/>
      <c r="AD24" s="26"/>
    </row>
    <row r="25" spans="1:30" s="2" customFormat="1" ht="11.25" customHeight="1" x14ac:dyDescent="0.2">
      <c r="A25" s="175"/>
      <c r="B25" s="175"/>
      <c r="C25" s="175"/>
      <c r="D25" s="175"/>
      <c r="E25" s="175"/>
      <c r="F25" s="175"/>
      <c r="G25" s="175"/>
      <c r="H25" s="175"/>
      <c r="I25" s="175"/>
      <c r="J25" s="175"/>
      <c r="K25" s="175"/>
      <c r="L25" s="175"/>
      <c r="N25" s="176"/>
      <c r="O25" s="178"/>
      <c r="P25" s="186"/>
      <c r="Q25" s="31" t="s">
        <v>33</v>
      </c>
      <c r="R25" s="32"/>
      <c r="S25" s="32"/>
      <c r="T25" s="32">
        <f t="shared" si="0"/>
        <v>0</v>
      </c>
      <c r="U25" s="26"/>
      <c r="V25" s="191"/>
      <c r="W25" s="190" t="s">
        <v>36</v>
      </c>
      <c r="X25" s="190"/>
      <c r="Y25" s="190"/>
      <c r="Z25" s="190"/>
      <c r="AA25" s="190"/>
      <c r="AB25" s="205">
        <v>42917</v>
      </c>
      <c r="AC25" s="188"/>
      <c r="AD25" s="26"/>
    </row>
    <row r="26" spans="1:30" s="2" customFormat="1" ht="11.25" customHeight="1" x14ac:dyDescent="0.2">
      <c r="A26" s="175"/>
      <c r="B26" s="175"/>
      <c r="C26" s="175"/>
      <c r="D26" s="175"/>
      <c r="E26" s="175"/>
      <c r="F26" s="175"/>
      <c r="G26" s="175"/>
      <c r="H26" s="175"/>
      <c r="I26" s="175"/>
      <c r="J26" s="175"/>
      <c r="K26" s="175"/>
      <c r="L26" s="175"/>
      <c r="N26" s="176">
        <v>8</v>
      </c>
      <c r="O26" s="186" t="s">
        <v>51</v>
      </c>
      <c r="P26" s="186" t="s">
        <v>52</v>
      </c>
      <c r="Q26" s="31" t="s">
        <v>32</v>
      </c>
      <c r="R26" s="32">
        <v>1.4</v>
      </c>
      <c r="S26" s="32">
        <v>4</v>
      </c>
      <c r="T26" s="32">
        <f t="shared" si="0"/>
        <v>5.6</v>
      </c>
      <c r="U26" s="26"/>
      <c r="V26" s="191"/>
      <c r="W26" s="190"/>
      <c r="X26" s="190"/>
      <c r="Y26" s="190"/>
      <c r="Z26" s="190"/>
      <c r="AA26" s="190"/>
      <c r="AB26" s="188"/>
      <c r="AC26" s="188"/>
      <c r="AD26" s="26"/>
    </row>
    <row r="27" spans="1:30" s="2" customFormat="1" ht="11.25" customHeight="1" x14ac:dyDescent="0.2">
      <c r="A27" s="175"/>
      <c r="B27" s="175"/>
      <c r="C27" s="175"/>
      <c r="D27" s="175"/>
      <c r="E27" s="175"/>
      <c r="F27" s="175"/>
      <c r="G27" s="175"/>
      <c r="H27" s="175"/>
      <c r="I27" s="175"/>
      <c r="J27" s="175"/>
      <c r="K27" s="175"/>
      <c r="L27" s="175"/>
      <c r="N27" s="176"/>
      <c r="O27" s="186"/>
      <c r="P27" s="186"/>
      <c r="Q27" s="31" t="s">
        <v>33</v>
      </c>
      <c r="R27" s="32"/>
      <c r="S27" s="32"/>
      <c r="T27" s="32">
        <f t="shared" si="0"/>
        <v>0</v>
      </c>
      <c r="U27" s="26"/>
      <c r="V27" s="191"/>
      <c r="W27" s="189" t="s">
        <v>87</v>
      </c>
      <c r="X27" s="190"/>
      <c r="Y27" s="190"/>
      <c r="Z27" s="190"/>
      <c r="AA27" s="190"/>
      <c r="AB27" s="188"/>
      <c r="AC27" s="188"/>
      <c r="AD27" s="26"/>
    </row>
    <row r="28" spans="1:30" s="2" customFormat="1" ht="11.25" customHeight="1" x14ac:dyDescent="0.2">
      <c r="A28" s="175"/>
      <c r="B28" s="175"/>
      <c r="C28" s="175"/>
      <c r="D28" s="175"/>
      <c r="E28" s="175"/>
      <c r="F28" s="175"/>
      <c r="G28" s="175"/>
      <c r="H28" s="175"/>
      <c r="I28" s="175"/>
      <c r="J28" s="175"/>
      <c r="K28" s="175"/>
      <c r="L28" s="175"/>
      <c r="N28" s="176">
        <v>9</v>
      </c>
      <c r="O28" s="186" t="s">
        <v>55</v>
      </c>
      <c r="P28" s="186" t="s">
        <v>53</v>
      </c>
      <c r="Q28" s="31" t="s">
        <v>32</v>
      </c>
      <c r="R28" s="32"/>
      <c r="S28" s="32"/>
      <c r="T28" s="32">
        <v>5.6</v>
      </c>
      <c r="U28" s="26"/>
      <c r="V28" s="191"/>
      <c r="W28" s="190"/>
      <c r="X28" s="190"/>
      <c r="Y28" s="190"/>
      <c r="Z28" s="190"/>
      <c r="AA28" s="190"/>
      <c r="AB28" s="188"/>
      <c r="AC28" s="188"/>
      <c r="AD28" s="26"/>
    </row>
    <row r="29" spans="1:30" s="2" customFormat="1" ht="11.25" customHeight="1" x14ac:dyDescent="0.2">
      <c r="A29" s="175"/>
      <c r="B29" s="175"/>
      <c r="C29" s="175"/>
      <c r="D29" s="175"/>
      <c r="E29" s="175"/>
      <c r="F29" s="175"/>
      <c r="G29" s="175"/>
      <c r="H29" s="175"/>
      <c r="I29" s="175"/>
      <c r="J29" s="175"/>
      <c r="K29" s="175"/>
      <c r="L29" s="175"/>
      <c r="N29" s="176"/>
      <c r="O29" s="186"/>
      <c r="P29" s="186"/>
      <c r="Q29" s="31" t="s">
        <v>33</v>
      </c>
      <c r="R29" s="32"/>
      <c r="S29" s="32"/>
      <c r="T29" s="32">
        <f t="shared" si="0"/>
        <v>0</v>
      </c>
      <c r="U29" s="26"/>
      <c r="AB29" s="28"/>
      <c r="AC29" s="28"/>
      <c r="AD29" s="26"/>
    </row>
    <row r="30" spans="1:30" s="2" customFormat="1" ht="11.25" customHeight="1" x14ac:dyDescent="0.2">
      <c r="A30" s="175"/>
      <c r="B30" s="175"/>
      <c r="C30" s="175"/>
      <c r="D30" s="175"/>
      <c r="E30" s="175"/>
      <c r="F30" s="175"/>
      <c r="G30" s="175"/>
      <c r="H30" s="175"/>
      <c r="I30" s="175"/>
      <c r="J30" s="175"/>
      <c r="K30" s="175"/>
      <c r="L30" s="175"/>
      <c r="N30" s="176">
        <v>10</v>
      </c>
      <c r="O30" s="186" t="s">
        <v>54</v>
      </c>
      <c r="P30" s="186">
        <v>104</v>
      </c>
      <c r="Q30" s="31" t="s">
        <v>32</v>
      </c>
      <c r="R30" s="32"/>
      <c r="S30" s="32"/>
      <c r="T30" s="32">
        <v>4.5999999999999996</v>
      </c>
      <c r="U30" s="26"/>
      <c r="AB30" s="28"/>
      <c r="AC30" s="28"/>
      <c r="AD30" s="26"/>
    </row>
    <row r="31" spans="1:30" s="2" customFormat="1" ht="11.25" customHeight="1" x14ac:dyDescent="0.2">
      <c r="A31" s="175"/>
      <c r="B31" s="175"/>
      <c r="C31" s="175"/>
      <c r="D31" s="175"/>
      <c r="E31" s="175"/>
      <c r="F31" s="175"/>
      <c r="G31" s="175"/>
      <c r="H31" s="175"/>
      <c r="I31" s="175"/>
      <c r="J31" s="175"/>
      <c r="K31" s="175"/>
      <c r="L31" s="175"/>
      <c r="N31" s="176"/>
      <c r="O31" s="186"/>
      <c r="P31" s="186"/>
      <c r="Q31" s="31" t="s">
        <v>33</v>
      </c>
      <c r="R31" s="32"/>
      <c r="S31" s="32"/>
      <c r="T31" s="32">
        <f t="shared" si="0"/>
        <v>0</v>
      </c>
      <c r="U31" s="26"/>
      <c r="V31" s="200" t="s">
        <v>37</v>
      </c>
      <c r="W31" s="203" t="s">
        <v>96</v>
      </c>
      <c r="X31" s="204"/>
      <c r="Y31" s="204"/>
      <c r="Z31" s="204"/>
      <c r="AA31" s="204"/>
      <c r="AB31" s="187" t="s">
        <v>108</v>
      </c>
      <c r="AC31" s="187"/>
      <c r="AD31" s="26"/>
    </row>
    <row r="32" spans="1:30" s="2" customFormat="1" ht="11.25" customHeight="1" x14ac:dyDescent="0.2">
      <c r="A32" s="175"/>
      <c r="B32" s="175"/>
      <c r="C32" s="175"/>
      <c r="D32" s="175"/>
      <c r="E32" s="175"/>
      <c r="F32" s="175"/>
      <c r="G32" s="175"/>
      <c r="H32" s="175"/>
      <c r="I32" s="175"/>
      <c r="J32" s="175"/>
      <c r="K32" s="175"/>
      <c r="L32" s="175"/>
      <c r="N32" s="176">
        <v>11</v>
      </c>
      <c r="O32" s="186" t="s">
        <v>54</v>
      </c>
      <c r="P32" s="186">
        <v>90</v>
      </c>
      <c r="Q32" s="31" t="s">
        <v>32</v>
      </c>
      <c r="R32" s="32"/>
      <c r="S32" s="32"/>
      <c r="T32" s="32">
        <v>2</v>
      </c>
      <c r="U32" s="26"/>
      <c r="V32" s="201"/>
      <c r="W32" s="204"/>
      <c r="X32" s="204"/>
      <c r="Y32" s="204"/>
      <c r="Z32" s="204"/>
      <c r="AA32" s="204"/>
      <c r="AB32" s="187"/>
      <c r="AC32" s="187"/>
      <c r="AD32" s="26"/>
    </row>
    <row r="33" spans="1:30" s="2" customFormat="1" ht="11.25" customHeight="1" x14ac:dyDescent="0.2">
      <c r="A33" s="175"/>
      <c r="B33" s="175"/>
      <c r="C33" s="175"/>
      <c r="D33" s="175"/>
      <c r="E33" s="175"/>
      <c r="F33" s="175"/>
      <c r="G33" s="175"/>
      <c r="H33" s="175"/>
      <c r="I33" s="175"/>
      <c r="J33" s="175"/>
      <c r="K33" s="175"/>
      <c r="L33" s="175"/>
      <c r="N33" s="176"/>
      <c r="O33" s="186"/>
      <c r="P33" s="186"/>
      <c r="Q33" s="31" t="s">
        <v>33</v>
      </c>
      <c r="R33" s="32"/>
      <c r="S33" s="32"/>
      <c r="T33" s="32">
        <f t="shared" si="0"/>
        <v>0</v>
      </c>
      <c r="U33" s="26"/>
      <c r="V33" s="201"/>
      <c r="W33" s="203" t="s">
        <v>88</v>
      </c>
      <c r="X33" s="204"/>
      <c r="Y33" s="204"/>
      <c r="Z33" s="204"/>
      <c r="AA33" s="204"/>
      <c r="AB33" s="206">
        <v>42917</v>
      </c>
      <c r="AC33" s="187"/>
      <c r="AD33" s="26"/>
    </row>
    <row r="34" spans="1:30" s="2" customFormat="1" ht="11.25" customHeight="1" x14ac:dyDescent="0.2">
      <c r="A34" s="175"/>
      <c r="B34" s="175"/>
      <c r="C34" s="175"/>
      <c r="D34" s="175"/>
      <c r="E34" s="175"/>
      <c r="F34" s="175"/>
      <c r="G34" s="175"/>
      <c r="H34" s="175"/>
      <c r="I34" s="175"/>
      <c r="J34" s="175"/>
      <c r="K34" s="175"/>
      <c r="L34" s="175"/>
      <c r="N34" s="176">
        <v>12</v>
      </c>
      <c r="O34" s="186" t="s">
        <v>54</v>
      </c>
      <c r="P34" s="186">
        <v>44</v>
      </c>
      <c r="Q34" s="31" t="s">
        <v>32</v>
      </c>
      <c r="R34" s="32"/>
      <c r="S34" s="32"/>
      <c r="T34" s="32">
        <v>1.9</v>
      </c>
      <c r="U34" s="26"/>
      <c r="V34" s="201"/>
      <c r="W34" s="204"/>
      <c r="X34" s="204"/>
      <c r="Y34" s="204"/>
      <c r="Z34" s="204"/>
      <c r="AA34" s="204"/>
      <c r="AB34" s="187"/>
      <c r="AC34" s="187"/>
      <c r="AD34" s="26"/>
    </row>
    <row r="35" spans="1:30" s="2" customFormat="1" ht="11.25" customHeight="1" x14ac:dyDescent="0.2">
      <c r="N35" s="176"/>
      <c r="O35" s="186"/>
      <c r="P35" s="186"/>
      <c r="Q35" s="31" t="s">
        <v>33</v>
      </c>
      <c r="R35" s="32"/>
      <c r="S35" s="32"/>
      <c r="T35" s="32">
        <f t="shared" si="0"/>
        <v>0</v>
      </c>
      <c r="U35" s="26"/>
      <c r="V35" s="201"/>
      <c r="W35" s="203" t="s">
        <v>89</v>
      </c>
      <c r="X35" s="204"/>
      <c r="Y35" s="204"/>
      <c r="Z35" s="204"/>
      <c r="AA35" s="204"/>
      <c r="AB35" s="206">
        <v>42947</v>
      </c>
      <c r="AC35" s="187"/>
      <c r="AD35" s="26"/>
    </row>
    <row r="36" spans="1:30" s="2" customFormat="1" ht="11.25" customHeight="1" x14ac:dyDescent="0.2">
      <c r="A36" s="207" t="s">
        <v>98</v>
      </c>
      <c r="B36" s="207"/>
      <c r="C36" s="207"/>
      <c r="D36" s="207"/>
      <c r="E36" s="207"/>
      <c r="F36" s="207"/>
      <c r="G36" s="207"/>
      <c r="H36" s="207"/>
      <c r="I36" s="207"/>
      <c r="J36" s="207"/>
      <c r="K36" s="207"/>
      <c r="L36" s="207"/>
      <c r="N36" s="176">
        <v>13</v>
      </c>
      <c r="O36" s="186" t="s">
        <v>54</v>
      </c>
      <c r="P36" s="186">
        <v>31</v>
      </c>
      <c r="Q36" s="31" t="s">
        <v>32</v>
      </c>
      <c r="R36" s="32"/>
      <c r="S36" s="32"/>
      <c r="T36" s="32">
        <v>1.4</v>
      </c>
      <c r="U36" s="26"/>
      <c r="V36" s="201"/>
      <c r="W36" s="204"/>
      <c r="X36" s="204"/>
      <c r="Y36" s="204"/>
      <c r="Z36" s="204"/>
      <c r="AA36" s="204"/>
      <c r="AB36" s="187"/>
      <c r="AC36" s="187"/>
      <c r="AD36" s="26"/>
    </row>
    <row r="37" spans="1:30" s="2" customFormat="1" ht="11.25" customHeight="1" x14ac:dyDescent="0.2">
      <c r="A37" s="207"/>
      <c r="B37" s="207"/>
      <c r="C37" s="207"/>
      <c r="D37" s="207"/>
      <c r="E37" s="207"/>
      <c r="F37" s="207"/>
      <c r="G37" s="207"/>
      <c r="H37" s="207"/>
      <c r="I37" s="207"/>
      <c r="J37" s="207"/>
      <c r="K37" s="207"/>
      <c r="L37" s="207"/>
      <c r="N37" s="176"/>
      <c r="O37" s="186"/>
      <c r="P37" s="186"/>
      <c r="Q37" s="31" t="s">
        <v>33</v>
      </c>
      <c r="R37" s="32"/>
      <c r="S37" s="32"/>
      <c r="T37" s="32">
        <f t="shared" si="0"/>
        <v>0</v>
      </c>
      <c r="U37" s="26"/>
      <c r="V37" s="201"/>
      <c r="W37" s="203" t="s">
        <v>90</v>
      </c>
      <c r="X37" s="204"/>
      <c r="Y37" s="204"/>
      <c r="Z37" s="204"/>
      <c r="AA37" s="204"/>
      <c r="AB37" s="206"/>
      <c r="AC37" s="187"/>
      <c r="AD37" s="26"/>
    </row>
    <row r="38" spans="1:30" s="2" customFormat="1" ht="11.25" customHeight="1" x14ac:dyDescent="0.2">
      <c r="A38" s="207"/>
      <c r="B38" s="207"/>
      <c r="C38" s="207"/>
      <c r="D38" s="207"/>
      <c r="E38" s="207"/>
      <c r="F38" s="207"/>
      <c r="G38" s="207"/>
      <c r="H38" s="207"/>
      <c r="I38" s="207"/>
      <c r="J38" s="207"/>
      <c r="K38" s="207"/>
      <c r="L38" s="207"/>
      <c r="N38" s="176">
        <v>14</v>
      </c>
      <c r="O38" s="186" t="s">
        <v>54</v>
      </c>
      <c r="P38" s="186">
        <v>30</v>
      </c>
      <c r="Q38" s="31" t="s">
        <v>32</v>
      </c>
      <c r="R38" s="32"/>
      <c r="S38" s="32"/>
      <c r="T38" s="32">
        <v>1.7</v>
      </c>
      <c r="U38" s="26"/>
      <c r="V38" s="202"/>
      <c r="W38" s="204"/>
      <c r="X38" s="204"/>
      <c r="Y38" s="204"/>
      <c r="Z38" s="204"/>
      <c r="AA38" s="204"/>
      <c r="AB38" s="187"/>
      <c r="AC38" s="187"/>
      <c r="AD38" s="26"/>
    </row>
    <row r="39" spans="1:30" s="2" customFormat="1" ht="11.25" customHeight="1" x14ac:dyDescent="0.2">
      <c r="A39" s="207"/>
      <c r="B39" s="207"/>
      <c r="C39" s="207"/>
      <c r="D39" s="207"/>
      <c r="E39" s="207"/>
      <c r="F39" s="207"/>
      <c r="G39" s="207"/>
      <c r="H39" s="207"/>
      <c r="I39" s="207"/>
      <c r="J39" s="207"/>
      <c r="K39" s="207"/>
      <c r="L39" s="207"/>
      <c r="N39" s="176"/>
      <c r="O39" s="186"/>
      <c r="P39" s="186"/>
      <c r="Q39" s="31" t="s">
        <v>33</v>
      </c>
      <c r="R39" s="32"/>
      <c r="S39" s="32"/>
      <c r="T39" s="32">
        <f t="shared" si="0"/>
        <v>0</v>
      </c>
      <c r="U39" s="26"/>
      <c r="AD39" s="26"/>
    </row>
    <row r="40" spans="1:30" s="2" customFormat="1" ht="11.25" customHeight="1" x14ac:dyDescent="0.2">
      <c r="A40" s="207"/>
      <c r="B40" s="207"/>
      <c r="C40" s="207"/>
      <c r="D40" s="207"/>
      <c r="E40" s="207"/>
      <c r="F40" s="207"/>
      <c r="G40" s="207"/>
      <c r="H40" s="207"/>
      <c r="I40" s="207"/>
      <c r="J40" s="207"/>
      <c r="K40" s="207"/>
      <c r="L40" s="207"/>
      <c r="N40" s="176">
        <v>15</v>
      </c>
      <c r="O40" s="176"/>
      <c r="P40" s="186"/>
      <c r="Q40" s="31" t="s">
        <v>32</v>
      </c>
      <c r="R40" s="32"/>
      <c r="S40" s="32"/>
      <c r="T40" s="32">
        <f t="shared" si="0"/>
        <v>0</v>
      </c>
      <c r="U40" s="26"/>
      <c r="AD40" s="26"/>
    </row>
    <row r="41" spans="1:30" s="2" customFormat="1" ht="11.25" customHeight="1" x14ac:dyDescent="0.2">
      <c r="A41" s="25" t="s">
        <v>97</v>
      </c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N41" s="176"/>
      <c r="O41" s="176"/>
      <c r="P41" s="186"/>
      <c r="Q41" s="31" t="s">
        <v>33</v>
      </c>
      <c r="R41" s="32"/>
      <c r="S41" s="32"/>
      <c r="T41" s="32">
        <f t="shared" si="0"/>
        <v>0</v>
      </c>
      <c r="U41" s="26"/>
      <c r="AD41" s="26"/>
    </row>
    <row r="42" spans="1:30" s="2" customFormat="1" ht="11.25" customHeight="1" x14ac:dyDescent="0.2">
      <c r="A42" s="25" t="s">
        <v>92</v>
      </c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N42" s="176">
        <v>16</v>
      </c>
      <c r="O42" s="176"/>
      <c r="P42" s="186"/>
      <c r="Q42" s="31" t="s">
        <v>32</v>
      </c>
      <c r="R42" s="32"/>
      <c r="S42" s="32"/>
      <c r="T42" s="32">
        <f t="shared" si="0"/>
        <v>0</v>
      </c>
      <c r="U42" s="26"/>
      <c r="AD42" s="26"/>
    </row>
    <row r="43" spans="1:30" s="2" customFormat="1" ht="11.25" customHeight="1" x14ac:dyDescent="0.2">
      <c r="A43" s="25" t="s">
        <v>93</v>
      </c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N43" s="176"/>
      <c r="O43" s="176"/>
      <c r="P43" s="186"/>
      <c r="Q43" s="31" t="s">
        <v>33</v>
      </c>
      <c r="R43" s="32"/>
      <c r="S43" s="32"/>
      <c r="T43" s="32">
        <f t="shared" si="0"/>
        <v>0</v>
      </c>
      <c r="U43" s="26"/>
      <c r="AD43" s="26"/>
    </row>
    <row r="44" spans="1:30" s="2" customFormat="1" ht="11.25" customHeight="1" x14ac:dyDescent="0.2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N44" s="176">
        <v>17</v>
      </c>
      <c r="O44" s="176"/>
      <c r="P44" s="176"/>
      <c r="Q44" s="31" t="s">
        <v>32</v>
      </c>
      <c r="R44" s="32"/>
      <c r="S44" s="32"/>
      <c r="T44" s="32">
        <f t="shared" si="0"/>
        <v>0</v>
      </c>
      <c r="U44" s="26"/>
      <c r="AD44" s="26"/>
    </row>
    <row r="45" spans="1:30" s="2" customFormat="1" ht="11.25" customHeight="1" x14ac:dyDescent="0.2">
      <c r="A45" s="25" t="s">
        <v>102</v>
      </c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N45" s="176"/>
      <c r="O45" s="176"/>
      <c r="P45" s="176"/>
      <c r="Q45" s="31" t="s">
        <v>33</v>
      </c>
      <c r="R45" s="32"/>
      <c r="S45" s="32"/>
      <c r="T45" s="32">
        <f t="shared" si="0"/>
        <v>0</v>
      </c>
      <c r="U45" s="26"/>
      <c r="AD45" s="26"/>
    </row>
    <row r="46" spans="1:30" s="2" customFormat="1" ht="11.25" customHeight="1" x14ac:dyDescent="0.2">
      <c r="A46" s="208" t="s">
        <v>103</v>
      </c>
      <c r="B46" s="208"/>
      <c r="C46" s="208"/>
      <c r="D46" s="208"/>
      <c r="E46" s="208"/>
      <c r="F46" s="208"/>
      <c r="G46" s="208"/>
      <c r="H46" s="208"/>
      <c r="I46" s="208"/>
      <c r="J46" s="208"/>
      <c r="K46" s="208"/>
      <c r="L46" s="208"/>
      <c r="N46" s="176">
        <v>18</v>
      </c>
      <c r="O46" s="176"/>
      <c r="P46" s="176"/>
      <c r="Q46" s="31" t="s">
        <v>32</v>
      </c>
      <c r="R46" s="32"/>
      <c r="S46" s="32"/>
      <c r="T46" s="32">
        <f t="shared" si="0"/>
        <v>0</v>
      </c>
      <c r="U46" s="26"/>
      <c r="V46" s="26"/>
      <c r="W46" s="26"/>
      <c r="X46" s="26"/>
      <c r="Y46" s="26"/>
      <c r="Z46" s="26"/>
      <c r="AA46" s="26"/>
      <c r="AB46" s="26"/>
      <c r="AC46" s="26"/>
      <c r="AD46" s="26"/>
    </row>
    <row r="47" spans="1:30" s="2" customFormat="1" ht="11.25" customHeight="1" x14ac:dyDescent="0.25">
      <c r="A47" s="208" t="s">
        <v>99</v>
      </c>
      <c r="B47" s="209"/>
      <c r="C47" s="209"/>
      <c r="D47" s="209"/>
      <c r="E47" s="209"/>
      <c r="F47" s="209"/>
      <c r="G47" s="209"/>
      <c r="H47" s="209"/>
      <c r="I47" s="209"/>
      <c r="J47" s="209"/>
      <c r="K47" s="209"/>
      <c r="L47" s="209"/>
      <c r="N47" s="176"/>
      <c r="O47" s="176"/>
      <c r="P47" s="176"/>
      <c r="Q47" s="31" t="s">
        <v>33</v>
      </c>
      <c r="R47" s="32"/>
      <c r="S47" s="32"/>
      <c r="T47" s="32">
        <f t="shared" si="0"/>
        <v>0</v>
      </c>
      <c r="U47" s="26"/>
      <c r="V47" s="26"/>
      <c r="W47" s="26"/>
      <c r="X47" s="26"/>
      <c r="Y47" s="26"/>
      <c r="Z47" s="26"/>
      <c r="AA47" s="26"/>
      <c r="AB47" s="26"/>
      <c r="AC47" s="26"/>
      <c r="AD47" s="26"/>
    </row>
    <row r="48" spans="1:30" s="2" customFormat="1" ht="11.25" customHeight="1" x14ac:dyDescent="0.25">
      <c r="A48" s="208" t="s">
        <v>104</v>
      </c>
      <c r="B48" s="209"/>
      <c r="C48" s="209"/>
      <c r="D48" s="209"/>
      <c r="E48" s="209"/>
      <c r="F48" s="209"/>
      <c r="G48" s="209"/>
      <c r="H48" s="209"/>
      <c r="I48" s="209"/>
      <c r="J48" s="209"/>
      <c r="K48" s="209"/>
      <c r="L48" s="209"/>
      <c r="N48" s="176">
        <v>19</v>
      </c>
      <c r="O48" s="176"/>
      <c r="P48" s="176"/>
      <c r="Q48" s="31" t="s">
        <v>32</v>
      </c>
      <c r="R48" s="32"/>
      <c r="S48" s="32"/>
      <c r="T48" s="32">
        <f t="shared" si="0"/>
        <v>0</v>
      </c>
      <c r="U48" s="26"/>
      <c r="V48" s="26"/>
      <c r="W48" s="26"/>
      <c r="X48" s="26"/>
      <c r="Y48" s="26"/>
      <c r="Z48" s="26"/>
      <c r="AA48" s="26"/>
      <c r="AB48" s="26"/>
      <c r="AC48" s="26"/>
      <c r="AD48" s="26"/>
    </row>
    <row r="49" spans="1:30" s="2" customFormat="1" ht="11.25" customHeight="1" x14ac:dyDescent="0.25">
      <c r="A49" s="208" t="s">
        <v>101</v>
      </c>
      <c r="B49" s="209"/>
      <c r="C49" s="209"/>
      <c r="D49" s="209"/>
      <c r="E49" s="209"/>
      <c r="F49" s="209"/>
      <c r="G49" s="209"/>
      <c r="H49" s="209"/>
      <c r="I49" s="209"/>
      <c r="J49" s="209"/>
      <c r="K49" s="209"/>
      <c r="L49" s="209"/>
      <c r="N49" s="176"/>
      <c r="O49" s="176"/>
      <c r="P49" s="176"/>
      <c r="Q49" s="31" t="s">
        <v>33</v>
      </c>
      <c r="R49" s="32"/>
      <c r="S49" s="32"/>
      <c r="T49" s="32">
        <f t="shared" si="0"/>
        <v>0</v>
      </c>
      <c r="U49" s="26"/>
      <c r="V49" s="26"/>
      <c r="W49" s="26"/>
      <c r="X49" s="26"/>
      <c r="Y49" s="26"/>
      <c r="Z49" s="26"/>
      <c r="AA49" s="26"/>
      <c r="AB49" s="26"/>
      <c r="AC49" s="26"/>
      <c r="AD49" s="26"/>
    </row>
    <row r="50" spans="1:30" s="2" customFormat="1" ht="11.25" customHeight="1" x14ac:dyDescent="0.25">
      <c r="A50" s="208">
        <v>5</v>
      </c>
      <c r="B50" s="209"/>
      <c r="C50" s="209"/>
      <c r="D50" s="209"/>
      <c r="E50" s="209"/>
      <c r="F50" s="209"/>
      <c r="G50" s="209"/>
      <c r="H50" s="209"/>
      <c r="I50" s="209"/>
      <c r="J50" s="209"/>
      <c r="K50" s="209"/>
      <c r="L50" s="209"/>
      <c r="N50" s="212" t="s">
        <v>38</v>
      </c>
      <c r="O50" s="213"/>
      <c r="P50" s="213"/>
      <c r="Q50" s="213"/>
      <c r="R50" s="213"/>
      <c r="S50" s="214"/>
      <c r="T50" s="210">
        <f>SUM(T12:T49)</f>
        <v>43.6</v>
      </c>
      <c r="U50" s="26"/>
      <c r="V50" s="26"/>
      <c r="W50" s="26"/>
      <c r="X50" s="26"/>
      <c r="Y50" s="26"/>
      <c r="Z50" s="26"/>
      <c r="AA50" s="26"/>
      <c r="AB50" s="26"/>
      <c r="AC50" s="26"/>
      <c r="AD50" s="26"/>
    </row>
    <row r="51" spans="1:30" s="2" customFormat="1" ht="11.25" customHeight="1" x14ac:dyDescent="0.25">
      <c r="A51" s="208">
        <v>6</v>
      </c>
      <c r="B51" s="209"/>
      <c r="C51" s="209"/>
      <c r="D51" s="209"/>
      <c r="E51" s="209"/>
      <c r="F51" s="209"/>
      <c r="G51" s="209"/>
      <c r="H51" s="209"/>
      <c r="I51" s="209"/>
      <c r="J51" s="209"/>
      <c r="K51" s="209"/>
      <c r="L51" s="209"/>
      <c r="N51" s="215"/>
      <c r="O51" s="216"/>
      <c r="P51" s="216"/>
      <c r="Q51" s="216"/>
      <c r="R51" s="216"/>
      <c r="S51" s="217"/>
      <c r="T51" s="211"/>
      <c r="U51" s="26"/>
      <c r="V51" s="26"/>
      <c r="W51" s="26"/>
      <c r="X51" s="26"/>
      <c r="Y51" s="26"/>
      <c r="Z51" s="26"/>
      <c r="AA51" s="26"/>
      <c r="AB51" s="26"/>
      <c r="AC51" s="26"/>
      <c r="AD51" s="26"/>
    </row>
    <row r="52" spans="1:30" s="2" customFormat="1" ht="11.25" customHeight="1" x14ac:dyDescent="0.2">
      <c r="A52" s="27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</row>
    <row r="53" spans="1:30" s="2" customFormat="1" ht="11.25" customHeight="1" x14ac:dyDescent="0.2"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</row>
    <row r="54" spans="1:30" s="2" customFormat="1" ht="11.25" customHeight="1" x14ac:dyDescent="0.2"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</row>
    <row r="55" spans="1:30" s="2" customFormat="1" ht="11.25" customHeight="1" x14ac:dyDescent="0.2"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</row>
    <row r="56" spans="1:30" s="2" customFormat="1" ht="11.25" customHeight="1" x14ac:dyDescent="0.2"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</row>
    <row r="57" spans="1:30" s="2" customFormat="1" ht="11.25" customHeight="1" x14ac:dyDescent="0.2"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</row>
    <row r="58" spans="1:30" s="2" customFormat="1" ht="11.25" customHeight="1" x14ac:dyDescent="0.2"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</row>
    <row r="59" spans="1:30" s="2" customFormat="1" ht="11.25" customHeight="1" x14ac:dyDescent="0.2"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</row>
    <row r="60" spans="1:30" s="2" customFormat="1" ht="11.25" customHeight="1" x14ac:dyDescent="0.2"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</row>
    <row r="61" spans="1:30" s="2" customFormat="1" ht="11.25" customHeight="1" x14ac:dyDescent="0.2"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</row>
    <row r="62" spans="1:30" s="2" customFormat="1" ht="11.25" customHeight="1" x14ac:dyDescent="0.2"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</row>
    <row r="63" spans="1:30" s="2" customFormat="1" ht="11.25" customHeight="1" x14ac:dyDescent="0.2"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</row>
    <row r="64" spans="1:30" s="2" customFormat="1" ht="11.25" customHeight="1" x14ac:dyDescent="0.2"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</row>
    <row r="65" spans="14:30" s="2" customFormat="1" ht="11.25" customHeight="1" x14ac:dyDescent="0.2"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</row>
    <row r="66" spans="14:30" s="2" customFormat="1" ht="11.25" customHeight="1" x14ac:dyDescent="0.2"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</row>
    <row r="67" spans="14:30" s="2" customFormat="1" ht="11.25" customHeight="1" x14ac:dyDescent="0.2"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</row>
    <row r="68" spans="14:30" s="2" customFormat="1" ht="11.25" customHeight="1" x14ac:dyDescent="0.2"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</row>
    <row r="69" spans="14:30" s="2" customFormat="1" ht="11.25" customHeight="1" x14ac:dyDescent="0.2"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</row>
    <row r="70" spans="14:30" s="2" customFormat="1" ht="11.25" customHeight="1" x14ac:dyDescent="0.2"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</row>
    <row r="71" spans="14:30" s="2" customFormat="1" ht="11.25" customHeight="1" x14ac:dyDescent="0.2"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</row>
    <row r="72" spans="14:30" s="2" customFormat="1" ht="11.25" customHeight="1" x14ac:dyDescent="0.2"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</row>
    <row r="73" spans="14:30" s="2" customFormat="1" ht="11.25" customHeight="1" x14ac:dyDescent="0.2"/>
    <row r="74" spans="14:30" s="2" customFormat="1" ht="11.25" customHeight="1" x14ac:dyDescent="0.2"/>
    <row r="75" spans="14:30" s="2" customFormat="1" ht="11.25" customHeight="1" x14ac:dyDescent="0.2"/>
    <row r="76" spans="14:30" s="2" customFormat="1" ht="11.25" customHeight="1" x14ac:dyDescent="0.2"/>
    <row r="77" spans="14:30" s="2" customFormat="1" ht="11.25" customHeight="1" x14ac:dyDescent="0.2"/>
    <row r="78" spans="14:30" s="2" customFormat="1" ht="11.25" customHeight="1" x14ac:dyDescent="0.2"/>
    <row r="79" spans="14:30" s="2" customFormat="1" ht="11.25" customHeight="1" x14ac:dyDescent="0.2"/>
    <row r="80" spans="14:30" s="2" customFormat="1" ht="11.25" customHeight="1" x14ac:dyDescent="0.2"/>
    <row r="81" s="2" customFormat="1" ht="11.25" customHeight="1" x14ac:dyDescent="0.2"/>
    <row r="82" s="2" customFormat="1" ht="11.25" customHeight="1" x14ac:dyDescent="0.2"/>
    <row r="83" s="2" customFormat="1" ht="11.25" customHeight="1" x14ac:dyDescent="0.2"/>
    <row r="84" s="2" customFormat="1" ht="11.25" customHeight="1" x14ac:dyDescent="0.2"/>
    <row r="85" s="2" customFormat="1" ht="11.25" customHeight="1" x14ac:dyDescent="0.2"/>
    <row r="86" s="2" customFormat="1" ht="11.25" customHeight="1" x14ac:dyDescent="0.2"/>
    <row r="87" s="2" customFormat="1" ht="11.25" customHeight="1" x14ac:dyDescent="0.2"/>
    <row r="88" s="2" customFormat="1" ht="11.25" customHeight="1" x14ac:dyDescent="0.2"/>
    <row r="89" s="2" customFormat="1" ht="11.25" customHeight="1" x14ac:dyDescent="0.2"/>
    <row r="90" s="2" customFormat="1" ht="11.25" customHeight="1" x14ac:dyDescent="0.2"/>
    <row r="91" s="2" customFormat="1" ht="11.25" customHeight="1" x14ac:dyDescent="0.2"/>
    <row r="92" s="2" customFormat="1" ht="11.25" customHeight="1" x14ac:dyDescent="0.2"/>
    <row r="93" s="2" customFormat="1" ht="11.25" customHeight="1" x14ac:dyDescent="0.2"/>
    <row r="94" s="2" customFormat="1" ht="11.25" customHeight="1" x14ac:dyDescent="0.2"/>
    <row r="95" s="2" customFormat="1" ht="11.25" customHeight="1" x14ac:dyDescent="0.2"/>
    <row r="96" s="2" customFormat="1" ht="11.25" customHeight="1" x14ac:dyDescent="0.2"/>
    <row r="97" s="2" customFormat="1" ht="11.25" customHeight="1" x14ac:dyDescent="0.2"/>
    <row r="98" s="2" customFormat="1" ht="11.25" customHeight="1" x14ac:dyDescent="0.2"/>
    <row r="99" s="2" customFormat="1" ht="11.25" customHeight="1" x14ac:dyDescent="0.2"/>
    <row r="100" s="2" customFormat="1" ht="11.25" customHeight="1" x14ac:dyDescent="0.2"/>
    <row r="101" s="2" customFormat="1" ht="11.25" customHeight="1" x14ac:dyDescent="0.2"/>
    <row r="102" s="2" customFormat="1" ht="11.25" customHeight="1" x14ac:dyDescent="0.2"/>
    <row r="103" s="2" customFormat="1" ht="11.25" customHeight="1" x14ac:dyDescent="0.2"/>
    <row r="104" s="2" customFormat="1" ht="11.25" customHeight="1" x14ac:dyDescent="0.2"/>
    <row r="105" s="2" customFormat="1" ht="11.25" customHeight="1" x14ac:dyDescent="0.2"/>
    <row r="106" s="2" customFormat="1" ht="11.25" customHeight="1" x14ac:dyDescent="0.2"/>
    <row r="107" s="2" customFormat="1" ht="11.25" customHeight="1" x14ac:dyDescent="0.2"/>
    <row r="108" s="2" customFormat="1" ht="11.25" customHeight="1" x14ac:dyDescent="0.2"/>
    <row r="109" s="2" customFormat="1" ht="11.25" customHeight="1" x14ac:dyDescent="0.2"/>
    <row r="110" s="2" customFormat="1" ht="11.25" customHeight="1" x14ac:dyDescent="0.2"/>
    <row r="111" s="2" customFormat="1" ht="11.25" customHeight="1" x14ac:dyDescent="0.2"/>
    <row r="112" s="2" customFormat="1" ht="11.25" customHeight="1" x14ac:dyDescent="0.2"/>
    <row r="113" s="2" customFormat="1" ht="11.25" customHeight="1" x14ac:dyDescent="0.2"/>
    <row r="114" s="2" customFormat="1" ht="11.25" customHeight="1" x14ac:dyDescent="0.2"/>
    <row r="115" s="2" customFormat="1" ht="11.25" customHeight="1" x14ac:dyDescent="0.2"/>
    <row r="116" s="2" customFormat="1" ht="11.25" customHeight="1" x14ac:dyDescent="0.2"/>
    <row r="117" s="2" customFormat="1" ht="11.25" customHeight="1" x14ac:dyDescent="0.2"/>
    <row r="118" s="2" customFormat="1" ht="11.25" customHeight="1" x14ac:dyDescent="0.2"/>
    <row r="119" s="2" customFormat="1" ht="11.25" customHeight="1" x14ac:dyDescent="0.2"/>
    <row r="120" s="2" customFormat="1" ht="11.25" customHeight="1" x14ac:dyDescent="0.2"/>
    <row r="121" s="2" customFormat="1" ht="11.25" customHeight="1" x14ac:dyDescent="0.2"/>
    <row r="122" s="2" customFormat="1" ht="11.25" customHeight="1" x14ac:dyDescent="0.2"/>
    <row r="123" s="2" customFormat="1" ht="11.25" customHeight="1" x14ac:dyDescent="0.2"/>
    <row r="124" s="2" customFormat="1" ht="11.25" customHeight="1" x14ac:dyDescent="0.2"/>
    <row r="125" s="2" customFormat="1" ht="11.25" customHeight="1" x14ac:dyDescent="0.2"/>
    <row r="126" s="2" customFormat="1" ht="11.25" customHeight="1" x14ac:dyDescent="0.2"/>
    <row r="127" s="2" customFormat="1" ht="11.25" customHeight="1" x14ac:dyDescent="0.2"/>
    <row r="128" s="2" customFormat="1" ht="11.25" customHeight="1" x14ac:dyDescent="0.2"/>
    <row r="129" s="2" customFormat="1" ht="11.25" customHeight="1" x14ac:dyDescent="0.2"/>
    <row r="130" s="2" customFormat="1" ht="11.25" customHeight="1" x14ac:dyDescent="0.2"/>
    <row r="131" s="2" customFormat="1" ht="11.25" customHeight="1" x14ac:dyDescent="0.2"/>
    <row r="132" s="2" customFormat="1" ht="11.25" customHeight="1" x14ac:dyDescent="0.2"/>
    <row r="133" s="2" customFormat="1" ht="11.25" customHeight="1" x14ac:dyDescent="0.2"/>
    <row r="134" s="2" customFormat="1" ht="11.25" customHeight="1" x14ac:dyDescent="0.2"/>
    <row r="135" s="2" customFormat="1" ht="11.25" customHeight="1" x14ac:dyDescent="0.2"/>
    <row r="136" s="2" customFormat="1" ht="11.25" customHeight="1" x14ac:dyDescent="0.2"/>
    <row r="137" s="2" customFormat="1" ht="11.25" customHeight="1" x14ac:dyDescent="0.2"/>
    <row r="138" s="2" customFormat="1" ht="11.25" customHeight="1" x14ac:dyDescent="0.2"/>
    <row r="139" s="2" customFormat="1" ht="11.25" customHeight="1" x14ac:dyDescent="0.2"/>
    <row r="140" s="2" customFormat="1" ht="11.25" customHeight="1" x14ac:dyDescent="0.2"/>
    <row r="141" s="2" customFormat="1" ht="11.25" customHeight="1" x14ac:dyDescent="0.2"/>
    <row r="142" s="2" customFormat="1" ht="11.25" customHeight="1" x14ac:dyDescent="0.2"/>
    <row r="143" s="2" customFormat="1" ht="11.25" customHeight="1" x14ac:dyDescent="0.2"/>
    <row r="144" s="2" customFormat="1" ht="11.25" customHeight="1" x14ac:dyDescent="0.2"/>
    <row r="145" s="2" customFormat="1" ht="11.25" customHeight="1" x14ac:dyDescent="0.2"/>
    <row r="146" s="2" customFormat="1" ht="11.25" customHeight="1" x14ac:dyDescent="0.2"/>
    <row r="147" s="2" customFormat="1" ht="11.25" customHeight="1" x14ac:dyDescent="0.2"/>
    <row r="148" s="2" customFormat="1" ht="11.25" customHeight="1" x14ac:dyDescent="0.2"/>
    <row r="149" s="2" customFormat="1" ht="11.25" customHeight="1" x14ac:dyDescent="0.2"/>
    <row r="150" s="2" customFormat="1" ht="11.25" customHeight="1" x14ac:dyDescent="0.2"/>
    <row r="151" s="2" customFormat="1" ht="11.25" customHeight="1" x14ac:dyDescent="0.2"/>
    <row r="152" s="2" customFormat="1" ht="11.25" customHeight="1" x14ac:dyDescent="0.2"/>
    <row r="153" s="2" customFormat="1" ht="11.25" customHeight="1" x14ac:dyDescent="0.2"/>
    <row r="154" s="2" customFormat="1" ht="11.25" customHeight="1" x14ac:dyDescent="0.2"/>
    <row r="155" s="2" customFormat="1" ht="11.25" customHeight="1" x14ac:dyDescent="0.2"/>
    <row r="156" s="2" customFormat="1" ht="11.25" customHeight="1" x14ac:dyDescent="0.2"/>
    <row r="157" s="2" customFormat="1" ht="11.25" customHeight="1" x14ac:dyDescent="0.2"/>
    <row r="158" s="2" customFormat="1" ht="11.25" customHeight="1" x14ac:dyDescent="0.2"/>
    <row r="159" s="2" customFormat="1" ht="11.25" customHeight="1" x14ac:dyDescent="0.2"/>
    <row r="160" s="2" customFormat="1" ht="11.25" customHeight="1" x14ac:dyDescent="0.2"/>
    <row r="161" s="2" customFormat="1" ht="11.25" customHeight="1" x14ac:dyDescent="0.2"/>
    <row r="162" s="2" customFormat="1" ht="11.25" customHeight="1" x14ac:dyDescent="0.2"/>
    <row r="163" s="2" customFormat="1" ht="11.25" customHeight="1" x14ac:dyDescent="0.2"/>
    <row r="164" s="2" customFormat="1" ht="11.25" customHeight="1" x14ac:dyDescent="0.2"/>
    <row r="165" s="2" customFormat="1" ht="11.25" customHeight="1" x14ac:dyDescent="0.2"/>
    <row r="166" s="2" customFormat="1" ht="11.25" customHeight="1" x14ac:dyDescent="0.2"/>
    <row r="167" s="2" customFormat="1" ht="11.25" customHeight="1" x14ac:dyDescent="0.2"/>
    <row r="168" s="2" customFormat="1" ht="11.25" customHeight="1" x14ac:dyDescent="0.2"/>
    <row r="169" s="2" customFormat="1" ht="11.25" customHeight="1" x14ac:dyDescent="0.2"/>
    <row r="170" s="2" customFormat="1" ht="11.25" customHeight="1" x14ac:dyDescent="0.2"/>
    <row r="171" s="2" customFormat="1" ht="11.25" customHeight="1" x14ac:dyDescent="0.2"/>
    <row r="172" ht="11.25" customHeight="1" x14ac:dyDescent="0.25"/>
    <row r="173" ht="11.25" customHeight="1" x14ac:dyDescent="0.25"/>
    <row r="174" ht="11.25" customHeight="1" x14ac:dyDescent="0.25"/>
    <row r="175" ht="11.25" customHeight="1" x14ac:dyDescent="0.25"/>
    <row r="176" ht="11.25" customHeight="1" x14ac:dyDescent="0.25"/>
    <row r="177" ht="11.25" customHeight="1" x14ac:dyDescent="0.25"/>
    <row r="178" ht="11.25" customHeight="1" x14ac:dyDescent="0.25"/>
    <row r="179" ht="11.25" customHeight="1" x14ac:dyDescent="0.25"/>
    <row r="180" ht="11.25" customHeight="1" x14ac:dyDescent="0.25"/>
    <row r="181" ht="11.25" customHeight="1" x14ac:dyDescent="0.25"/>
    <row r="182" ht="11.25" customHeight="1" x14ac:dyDescent="0.25"/>
    <row r="183" ht="11.25" customHeight="1" x14ac:dyDescent="0.25"/>
    <row r="184" ht="11.25" customHeight="1" x14ac:dyDescent="0.25"/>
    <row r="185" ht="11.25" customHeight="1" x14ac:dyDescent="0.25"/>
    <row r="186" ht="11.25" customHeight="1" x14ac:dyDescent="0.25"/>
    <row r="187" ht="11.25" customHeight="1" x14ac:dyDescent="0.25"/>
    <row r="188" ht="11.25" customHeight="1" x14ac:dyDescent="0.25"/>
    <row r="189" ht="11.25" customHeight="1" x14ac:dyDescent="0.25"/>
    <row r="190" ht="11.25" customHeight="1" x14ac:dyDescent="0.25"/>
    <row r="191" ht="11.25" customHeight="1" x14ac:dyDescent="0.25"/>
    <row r="192" ht="11.25" customHeight="1" x14ac:dyDescent="0.25"/>
    <row r="193" ht="11.25" customHeight="1" x14ac:dyDescent="0.25"/>
    <row r="194" ht="11.25" customHeight="1" x14ac:dyDescent="0.25"/>
    <row r="195" ht="11.25" customHeight="1" x14ac:dyDescent="0.25"/>
    <row r="196" ht="11.25" customHeight="1" x14ac:dyDescent="0.25"/>
    <row r="197" ht="11.25" customHeight="1" x14ac:dyDescent="0.25"/>
    <row r="198" ht="11.25" customHeight="1" x14ac:dyDescent="0.25"/>
    <row r="199" ht="11.25" customHeight="1" x14ac:dyDescent="0.25"/>
    <row r="200" ht="11.25" customHeight="1" x14ac:dyDescent="0.25"/>
    <row r="201" ht="11.25" customHeight="1" x14ac:dyDescent="0.25"/>
    <row r="202" ht="11.25" customHeight="1" x14ac:dyDescent="0.25"/>
    <row r="203" ht="11.25" customHeight="1" x14ac:dyDescent="0.25"/>
    <row r="204" ht="11.25" customHeight="1" x14ac:dyDescent="0.25"/>
    <row r="205" ht="11.25" customHeight="1" x14ac:dyDescent="0.25"/>
    <row r="206" ht="11.25" customHeight="1" x14ac:dyDescent="0.25"/>
    <row r="207" ht="11.25" customHeight="1" x14ac:dyDescent="0.25"/>
    <row r="208" ht="11.25" customHeight="1" x14ac:dyDescent="0.25"/>
    <row r="209" ht="11.25" customHeight="1" x14ac:dyDescent="0.25"/>
    <row r="210" ht="11.25" customHeight="1" x14ac:dyDescent="0.25"/>
    <row r="211" ht="11.25" customHeight="1" x14ac:dyDescent="0.25"/>
    <row r="212" ht="11.25" customHeight="1" x14ac:dyDescent="0.25"/>
    <row r="213" ht="11.25" customHeight="1" x14ac:dyDescent="0.25"/>
    <row r="214" ht="11.25" customHeight="1" x14ac:dyDescent="0.25"/>
    <row r="215" ht="11.25" customHeight="1" x14ac:dyDescent="0.25"/>
    <row r="216" ht="11.25" customHeight="1" x14ac:dyDescent="0.25"/>
    <row r="217" ht="11.25" customHeight="1" x14ac:dyDescent="0.25"/>
    <row r="218" ht="11.25" customHeight="1" x14ac:dyDescent="0.25"/>
    <row r="219" ht="11.25" customHeight="1" x14ac:dyDescent="0.25"/>
    <row r="220" ht="11.25" customHeight="1" x14ac:dyDescent="0.25"/>
    <row r="221" ht="11.25" customHeight="1" x14ac:dyDescent="0.25"/>
    <row r="222" ht="11.25" customHeight="1" x14ac:dyDescent="0.25"/>
    <row r="223" ht="11.25" customHeight="1" x14ac:dyDescent="0.25"/>
    <row r="224" ht="11.25" customHeight="1" x14ac:dyDescent="0.25"/>
    <row r="225" ht="11.25" customHeight="1" x14ac:dyDescent="0.25"/>
    <row r="226" ht="11.25" customHeight="1" x14ac:dyDescent="0.25"/>
    <row r="227" ht="11.25" customHeight="1" x14ac:dyDescent="0.25"/>
    <row r="228" ht="11.25" customHeight="1" x14ac:dyDescent="0.25"/>
    <row r="229" ht="11.25" customHeight="1" x14ac:dyDescent="0.25"/>
    <row r="230" ht="11.25" customHeight="1" x14ac:dyDescent="0.25"/>
    <row r="231" ht="11.25" customHeight="1" x14ac:dyDescent="0.25"/>
    <row r="232" ht="11.25" customHeight="1" x14ac:dyDescent="0.25"/>
    <row r="233" ht="11.25" customHeight="1" x14ac:dyDescent="0.25"/>
    <row r="234" ht="11.25" customHeight="1" x14ac:dyDescent="0.25"/>
    <row r="235" ht="11.25" customHeight="1" x14ac:dyDescent="0.25"/>
    <row r="236" ht="11.25" customHeight="1" x14ac:dyDescent="0.25"/>
    <row r="237" ht="11.25" customHeight="1" x14ac:dyDescent="0.25"/>
    <row r="238" ht="11.25" customHeight="1" x14ac:dyDescent="0.25"/>
    <row r="239" ht="11.25" customHeight="1" x14ac:dyDescent="0.25"/>
    <row r="240" ht="11.25" customHeight="1" x14ac:dyDescent="0.25"/>
    <row r="241" ht="11.25" customHeight="1" x14ac:dyDescent="0.25"/>
    <row r="242" ht="11.25" customHeight="1" x14ac:dyDescent="0.25"/>
    <row r="243" ht="11.25" customHeight="1" x14ac:dyDescent="0.25"/>
    <row r="244" ht="11.25" customHeight="1" x14ac:dyDescent="0.25"/>
    <row r="245" ht="11.25" customHeight="1" x14ac:dyDescent="0.25"/>
    <row r="246" ht="11.25" customHeight="1" x14ac:dyDescent="0.25"/>
    <row r="247" ht="11.25" customHeight="1" x14ac:dyDescent="0.25"/>
    <row r="248" ht="11.25" customHeight="1" x14ac:dyDescent="0.25"/>
    <row r="249" ht="11.25" customHeight="1" x14ac:dyDescent="0.25"/>
    <row r="250" ht="11.25" customHeight="1" x14ac:dyDescent="0.25"/>
    <row r="251" ht="11.25" customHeight="1" x14ac:dyDescent="0.25"/>
    <row r="252" ht="11.25" customHeight="1" x14ac:dyDescent="0.25"/>
    <row r="253" ht="11.25" customHeight="1" x14ac:dyDescent="0.25"/>
    <row r="254" ht="11.25" customHeight="1" x14ac:dyDescent="0.25"/>
    <row r="255" ht="11.25" customHeight="1" x14ac:dyDescent="0.25"/>
    <row r="256" ht="11.25" customHeight="1" x14ac:dyDescent="0.25"/>
    <row r="257" ht="11.25" customHeight="1" x14ac:dyDescent="0.25"/>
    <row r="258" ht="11.25" customHeight="1" x14ac:dyDescent="0.25"/>
    <row r="259" ht="11.25" customHeight="1" x14ac:dyDescent="0.25"/>
    <row r="260" ht="11.25" customHeight="1" x14ac:dyDescent="0.25"/>
    <row r="261" ht="11.25" customHeight="1" x14ac:dyDescent="0.25"/>
    <row r="262" ht="11.25" customHeight="1" x14ac:dyDescent="0.25"/>
    <row r="263" ht="11.25" customHeight="1" x14ac:dyDescent="0.25"/>
    <row r="264" ht="11.25" customHeight="1" x14ac:dyDescent="0.25"/>
    <row r="265" ht="11.25" customHeight="1" x14ac:dyDescent="0.25"/>
    <row r="266" ht="11.25" customHeight="1" x14ac:dyDescent="0.25"/>
    <row r="267" ht="11.25" customHeight="1" x14ac:dyDescent="0.25"/>
    <row r="268" ht="11.25" customHeight="1" x14ac:dyDescent="0.25"/>
    <row r="269" ht="11.25" customHeight="1" x14ac:dyDescent="0.25"/>
    <row r="270" ht="11.25" customHeight="1" x14ac:dyDescent="0.25"/>
    <row r="271" ht="11.25" customHeight="1" x14ac:dyDescent="0.25"/>
    <row r="272" ht="11.25" customHeight="1" x14ac:dyDescent="0.25"/>
    <row r="273" ht="11.25" customHeight="1" x14ac:dyDescent="0.25"/>
    <row r="274" ht="11.25" customHeight="1" x14ac:dyDescent="0.25"/>
    <row r="275" ht="11.25" customHeight="1" x14ac:dyDescent="0.25"/>
    <row r="276" ht="11.25" customHeight="1" x14ac:dyDescent="0.25"/>
    <row r="277" ht="11.25" customHeight="1" x14ac:dyDescent="0.25"/>
    <row r="278" ht="11.25" customHeight="1" x14ac:dyDescent="0.25"/>
    <row r="279" ht="11.25" customHeight="1" x14ac:dyDescent="0.25"/>
    <row r="280" ht="11.25" customHeight="1" x14ac:dyDescent="0.25"/>
    <row r="281" ht="11.25" customHeight="1" x14ac:dyDescent="0.25"/>
    <row r="282" ht="11.25" customHeight="1" x14ac:dyDescent="0.25"/>
    <row r="283" ht="11.25" customHeight="1" x14ac:dyDescent="0.25"/>
    <row r="284" ht="11.25" customHeight="1" x14ac:dyDescent="0.25"/>
    <row r="285" ht="11.25" customHeight="1" x14ac:dyDescent="0.25"/>
    <row r="286" ht="11.25" customHeight="1" x14ac:dyDescent="0.25"/>
    <row r="287" ht="11.25" customHeight="1" x14ac:dyDescent="0.25"/>
    <row r="288" ht="11.25" customHeight="1" x14ac:dyDescent="0.25"/>
    <row r="289" ht="11.25" customHeight="1" x14ac:dyDescent="0.25"/>
    <row r="290" ht="11.25" customHeight="1" x14ac:dyDescent="0.25"/>
    <row r="291" ht="11.25" customHeight="1" x14ac:dyDescent="0.25"/>
    <row r="292" ht="11.25" customHeight="1" x14ac:dyDescent="0.25"/>
    <row r="293" ht="11.25" customHeight="1" x14ac:dyDescent="0.25"/>
    <row r="294" ht="11.25" customHeight="1" x14ac:dyDescent="0.25"/>
    <row r="295" ht="11.25" customHeight="1" x14ac:dyDescent="0.25"/>
    <row r="296" ht="11.25" customHeight="1" x14ac:dyDescent="0.25"/>
    <row r="297" ht="11.25" customHeight="1" x14ac:dyDescent="0.25"/>
    <row r="298" ht="11.25" customHeight="1" x14ac:dyDescent="0.25"/>
    <row r="299" ht="11.25" customHeight="1" x14ac:dyDescent="0.25"/>
    <row r="300" ht="11.25" customHeight="1" x14ac:dyDescent="0.25"/>
    <row r="301" ht="11.25" customHeight="1" x14ac:dyDescent="0.25"/>
    <row r="302" ht="11.25" customHeight="1" x14ac:dyDescent="0.25"/>
    <row r="303" ht="11.25" customHeight="1" x14ac:dyDescent="0.25"/>
    <row r="304" ht="11.25" customHeight="1" x14ac:dyDescent="0.25"/>
    <row r="305" ht="11.25" customHeight="1" x14ac:dyDescent="0.25"/>
    <row r="306" ht="11.25" customHeight="1" x14ac:dyDescent="0.25"/>
    <row r="307" ht="11.25" customHeight="1" x14ac:dyDescent="0.25"/>
    <row r="308" ht="11.25" customHeight="1" x14ac:dyDescent="0.25"/>
    <row r="309" ht="11.25" customHeight="1" x14ac:dyDescent="0.25"/>
    <row r="310" ht="11.25" customHeight="1" x14ac:dyDescent="0.25"/>
    <row r="311" ht="11.25" customHeight="1" x14ac:dyDescent="0.25"/>
    <row r="312" ht="11.25" customHeight="1" x14ac:dyDescent="0.25"/>
    <row r="313" ht="11.25" customHeight="1" x14ac:dyDescent="0.25"/>
    <row r="314" ht="11.25" customHeight="1" x14ac:dyDescent="0.25"/>
    <row r="315" ht="11.25" customHeight="1" x14ac:dyDescent="0.25"/>
    <row r="316" ht="11.25" customHeight="1" x14ac:dyDescent="0.25"/>
    <row r="317" ht="11.25" customHeight="1" x14ac:dyDescent="0.25"/>
    <row r="318" ht="11.25" customHeight="1" x14ac:dyDescent="0.25"/>
    <row r="319" ht="11.25" customHeight="1" x14ac:dyDescent="0.25"/>
    <row r="320" ht="11.25" customHeight="1" x14ac:dyDescent="0.25"/>
    <row r="321" ht="11.25" customHeight="1" x14ac:dyDescent="0.25"/>
    <row r="322" ht="11.25" customHeight="1" x14ac:dyDescent="0.25"/>
    <row r="323" ht="11.25" customHeight="1" x14ac:dyDescent="0.25"/>
    <row r="324" ht="11.25" customHeight="1" x14ac:dyDescent="0.25"/>
    <row r="325" ht="11.25" customHeight="1" x14ac:dyDescent="0.25"/>
    <row r="326" ht="11.25" customHeight="1" x14ac:dyDescent="0.25"/>
    <row r="327" ht="11.25" customHeight="1" x14ac:dyDescent="0.25"/>
    <row r="328" ht="11.25" customHeight="1" x14ac:dyDescent="0.25"/>
    <row r="329" ht="11.25" customHeight="1" x14ac:dyDescent="0.25"/>
    <row r="330" ht="11.25" customHeight="1" x14ac:dyDescent="0.25"/>
    <row r="331" ht="11.25" customHeight="1" x14ac:dyDescent="0.25"/>
    <row r="332" ht="11.25" customHeight="1" x14ac:dyDescent="0.25"/>
    <row r="333" ht="11.25" customHeight="1" x14ac:dyDescent="0.25"/>
    <row r="334" ht="11.25" customHeight="1" x14ac:dyDescent="0.25"/>
    <row r="335" ht="11.25" customHeight="1" x14ac:dyDescent="0.25"/>
    <row r="336" ht="11.25" customHeight="1" x14ac:dyDescent="0.25"/>
  </sheetData>
  <mergeCells count="112">
    <mergeCell ref="T50:T51"/>
    <mergeCell ref="A51:L51"/>
    <mergeCell ref="A48:L48"/>
    <mergeCell ref="N48:N49"/>
    <mergeCell ref="O48:O49"/>
    <mergeCell ref="P48:P49"/>
    <mergeCell ref="A49:L49"/>
    <mergeCell ref="A50:L50"/>
    <mergeCell ref="N50:S51"/>
    <mergeCell ref="N44:N45"/>
    <mergeCell ref="O44:O45"/>
    <mergeCell ref="P44:P45"/>
    <mergeCell ref="A46:L46"/>
    <mergeCell ref="N46:N47"/>
    <mergeCell ref="O46:O47"/>
    <mergeCell ref="P46:P47"/>
    <mergeCell ref="A47:L47"/>
    <mergeCell ref="N40:N41"/>
    <mergeCell ref="O40:O41"/>
    <mergeCell ref="P40:P41"/>
    <mergeCell ref="N42:N43"/>
    <mergeCell ref="O42:O43"/>
    <mergeCell ref="P42:P43"/>
    <mergeCell ref="W35:AA36"/>
    <mergeCell ref="AB35:AC36"/>
    <mergeCell ref="A36:L40"/>
    <mergeCell ref="N36:N37"/>
    <mergeCell ref="O36:O37"/>
    <mergeCell ref="P36:P37"/>
    <mergeCell ref="W37:AA38"/>
    <mergeCell ref="AB37:AC38"/>
    <mergeCell ref="N38:N39"/>
    <mergeCell ref="O38:O39"/>
    <mergeCell ref="P38:P39"/>
    <mergeCell ref="N30:N31"/>
    <mergeCell ref="O30:O31"/>
    <mergeCell ref="P30:P31"/>
    <mergeCell ref="V31:V38"/>
    <mergeCell ref="W31:AA32"/>
    <mergeCell ref="P24:P25"/>
    <mergeCell ref="W25:AA26"/>
    <mergeCell ref="AB25:AC26"/>
    <mergeCell ref="N26:N27"/>
    <mergeCell ref="O26:O27"/>
    <mergeCell ref="P26:P27"/>
    <mergeCell ref="W27:AA28"/>
    <mergeCell ref="AB27:AC28"/>
    <mergeCell ref="N28:N29"/>
    <mergeCell ref="O28:O29"/>
    <mergeCell ref="AB31:AC32"/>
    <mergeCell ref="N32:N33"/>
    <mergeCell ref="O32:O33"/>
    <mergeCell ref="P32:P33"/>
    <mergeCell ref="W33:AA34"/>
    <mergeCell ref="AB33:AC34"/>
    <mergeCell ref="N34:N35"/>
    <mergeCell ref="O34:O35"/>
    <mergeCell ref="P34:P35"/>
    <mergeCell ref="P20:P21"/>
    <mergeCell ref="W21:AA22"/>
    <mergeCell ref="AB21:AC22"/>
    <mergeCell ref="N22:N23"/>
    <mergeCell ref="O22:O23"/>
    <mergeCell ref="P22:P23"/>
    <mergeCell ref="W23:AA24"/>
    <mergeCell ref="AB23:AC24"/>
    <mergeCell ref="N24:N25"/>
    <mergeCell ref="O24:O25"/>
    <mergeCell ref="V17:V28"/>
    <mergeCell ref="W17:AA18"/>
    <mergeCell ref="AB17:AC18"/>
    <mergeCell ref="N18:N19"/>
    <mergeCell ref="O18:O19"/>
    <mergeCell ref="P18:P19"/>
    <mergeCell ref="W19:AA20"/>
    <mergeCell ref="AB19:AC20"/>
    <mergeCell ref="N20:N21"/>
    <mergeCell ref="O20:O21"/>
    <mergeCell ref="P28:P29"/>
    <mergeCell ref="N14:N15"/>
    <mergeCell ref="O14:O15"/>
    <mergeCell ref="P14:P15"/>
    <mergeCell ref="N16:N17"/>
    <mergeCell ref="O16:O17"/>
    <mergeCell ref="P16:P17"/>
    <mergeCell ref="V9:AA10"/>
    <mergeCell ref="V11:AA12"/>
    <mergeCell ref="AB11:AC12"/>
    <mergeCell ref="A2:T4"/>
    <mergeCell ref="V2:X2"/>
    <mergeCell ref="Y2:AA2"/>
    <mergeCell ref="AB2:AC2"/>
    <mergeCell ref="V3:X4"/>
    <mergeCell ref="Y3:AA4"/>
    <mergeCell ref="AB3:AC4"/>
    <mergeCell ref="A12:L34"/>
    <mergeCell ref="N12:N13"/>
    <mergeCell ref="O12:O13"/>
    <mergeCell ref="P12:P13"/>
    <mergeCell ref="V13:AA14"/>
    <mergeCell ref="AB13:AB14"/>
    <mergeCell ref="AC13:AC14"/>
    <mergeCell ref="A7:L11"/>
    <mergeCell ref="N7:T8"/>
    <mergeCell ref="V7:AC8"/>
    <mergeCell ref="N9:N11"/>
    <mergeCell ref="O9:O11"/>
    <mergeCell ref="P9:P11"/>
    <mergeCell ref="Q9:Q11"/>
    <mergeCell ref="R9:R11"/>
    <mergeCell ref="S9:S11"/>
    <mergeCell ref="T9:T11"/>
  </mergeCells>
  <dataValidations count="1">
    <dataValidation allowBlank="1" showInputMessage="1" showErrorMessage="1" promptTitle="f.g" sqref="AC10" xr:uid="{00000000-0002-0000-0000-000000000000}"/>
  </dataValidations>
  <pageMargins left="0.12" right="0.12" top="0.2" bottom="0.2" header="0" footer="0"/>
  <pageSetup paperSize="9" orientation="landscape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Y332"/>
  <sheetViews>
    <sheetView view="pageBreakPreview" topLeftCell="A25" zoomScale="106" zoomScaleNormal="60" zoomScaleSheetLayoutView="106" workbookViewId="0">
      <selection activeCell="S48" sqref="S48:X48"/>
    </sheetView>
  </sheetViews>
  <sheetFormatPr defaultRowHeight="15" x14ac:dyDescent="0.25"/>
  <cols>
    <col min="1" max="10" width="6" style="1" customWidth="1"/>
    <col min="11" max="11" width="34.140625" style="1" customWidth="1"/>
    <col min="12" max="12" width="15.140625" style="1" customWidth="1"/>
    <col min="13" max="13" width="1" style="1" customWidth="1"/>
    <col min="14" max="14" width="1.140625" style="1" customWidth="1"/>
    <col min="15" max="20" width="4" style="1" customWidth="1"/>
    <col min="21" max="24" width="3.28515625" style="1" customWidth="1"/>
    <col min="25" max="25" width="4.140625" style="1" customWidth="1"/>
    <col min="26" max="16384" width="9.140625" style="1"/>
  </cols>
  <sheetData>
    <row r="1" spans="1:25" ht="24.75" customHeight="1" x14ac:dyDescent="0.25">
      <c r="A1" s="293" t="s">
        <v>187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O1" s="240" t="s">
        <v>22</v>
      </c>
      <c r="P1" s="240"/>
      <c r="Q1" s="240"/>
      <c r="R1" s="294" t="s">
        <v>205</v>
      </c>
      <c r="S1" s="294"/>
      <c r="T1" s="294"/>
      <c r="U1" s="240" t="s">
        <v>80</v>
      </c>
      <c r="V1" s="240"/>
      <c r="W1" s="240"/>
      <c r="X1" s="240"/>
      <c r="Y1" s="25"/>
    </row>
    <row r="2" spans="1:25" ht="11.25" customHeight="1" x14ac:dyDescent="0.25">
      <c r="A2" s="293"/>
      <c r="B2" s="293"/>
      <c r="C2" s="293"/>
      <c r="D2" s="293"/>
      <c r="E2" s="293"/>
      <c r="F2" s="293"/>
      <c r="G2" s="293"/>
      <c r="H2" s="293"/>
      <c r="I2" s="293"/>
      <c r="J2" s="293"/>
      <c r="K2" s="293"/>
      <c r="L2" s="293"/>
      <c r="M2" s="293"/>
      <c r="O2" s="248"/>
      <c r="P2" s="248"/>
      <c r="Q2" s="248"/>
      <c r="R2" s="248"/>
      <c r="S2" s="248"/>
      <c r="T2" s="248"/>
      <c r="U2" s="248"/>
      <c r="V2" s="248"/>
      <c r="W2" s="248"/>
      <c r="X2" s="248"/>
      <c r="Y2" s="25"/>
    </row>
    <row r="3" spans="1:25" ht="11.25" customHeight="1" x14ac:dyDescent="0.25">
      <c r="A3" s="293"/>
      <c r="B3" s="293"/>
      <c r="C3" s="293"/>
      <c r="D3" s="293"/>
      <c r="E3" s="293"/>
      <c r="F3" s="293"/>
      <c r="G3" s="293"/>
      <c r="H3" s="293"/>
      <c r="I3" s="293"/>
      <c r="J3" s="293"/>
      <c r="K3" s="293"/>
      <c r="L3" s="293"/>
      <c r="M3" s="293"/>
      <c r="O3" s="248"/>
      <c r="P3" s="248"/>
      <c r="Q3" s="248"/>
      <c r="R3" s="248"/>
      <c r="S3" s="248"/>
      <c r="T3" s="248"/>
      <c r="U3" s="248"/>
      <c r="V3" s="248"/>
      <c r="W3" s="248"/>
      <c r="X3" s="248"/>
      <c r="Y3" s="25"/>
    </row>
    <row r="4" spans="1:25" s="2" customFormat="1" ht="3.75" customHeight="1" x14ac:dyDescent="0.2"/>
    <row r="5" spans="1:25" s="2" customFormat="1" ht="3.75" customHeight="1" x14ac:dyDescent="0.2"/>
    <row r="6" spans="1:25" s="2" customFormat="1" ht="15.75" customHeight="1" x14ac:dyDescent="0.2">
      <c r="A6" s="295" t="s">
        <v>203</v>
      </c>
      <c r="B6" s="296"/>
      <c r="C6" s="296"/>
      <c r="D6" s="296"/>
      <c r="E6" s="296"/>
      <c r="F6" s="296"/>
      <c r="G6" s="296"/>
      <c r="H6" s="296"/>
      <c r="I6" s="296"/>
      <c r="J6" s="296"/>
      <c r="K6" s="296"/>
      <c r="L6" s="297"/>
      <c r="N6" s="26"/>
      <c r="O6" s="310" t="s">
        <v>186</v>
      </c>
      <c r="P6" s="310"/>
      <c r="Q6" s="310"/>
      <c r="R6" s="310"/>
      <c r="S6" s="310"/>
      <c r="T6" s="310"/>
      <c r="U6" s="310"/>
      <c r="V6" s="310"/>
      <c r="W6" s="310"/>
      <c r="X6" s="310"/>
      <c r="Y6" s="26"/>
    </row>
    <row r="7" spans="1:25" s="2" customFormat="1" ht="15.75" customHeight="1" x14ac:dyDescent="0.2">
      <c r="A7" s="298"/>
      <c r="B7" s="299"/>
      <c r="C7" s="299"/>
      <c r="D7" s="299"/>
      <c r="E7" s="299"/>
      <c r="F7" s="299"/>
      <c r="G7" s="299"/>
      <c r="H7" s="299"/>
      <c r="I7" s="299"/>
      <c r="J7" s="299"/>
      <c r="K7" s="299"/>
      <c r="L7" s="300"/>
      <c r="N7" s="26"/>
      <c r="O7" s="310"/>
      <c r="P7" s="310"/>
      <c r="Q7" s="310"/>
      <c r="R7" s="310"/>
      <c r="S7" s="310"/>
      <c r="T7" s="310"/>
      <c r="U7" s="310"/>
      <c r="V7" s="310"/>
      <c r="W7" s="310"/>
      <c r="X7" s="310"/>
      <c r="Y7" s="26"/>
    </row>
    <row r="8" spans="1:25" s="2" customFormat="1" ht="11.25" customHeight="1" x14ac:dyDescent="0.2">
      <c r="A8" s="301"/>
      <c r="B8" s="302"/>
      <c r="C8" s="302"/>
      <c r="D8" s="302"/>
      <c r="E8" s="302"/>
      <c r="F8" s="302"/>
      <c r="G8" s="302"/>
      <c r="H8" s="302"/>
      <c r="I8" s="302"/>
      <c r="J8" s="302"/>
      <c r="K8" s="302"/>
      <c r="L8" s="303"/>
      <c r="N8" s="26"/>
      <c r="O8" s="242" t="s">
        <v>188</v>
      </c>
      <c r="P8" s="243"/>
      <c r="Q8" s="243"/>
      <c r="R8" s="244"/>
      <c r="S8" s="248" t="s">
        <v>30</v>
      </c>
      <c r="T8" s="248"/>
      <c r="U8" s="248"/>
      <c r="V8" s="248" t="s">
        <v>31</v>
      </c>
      <c r="W8" s="248"/>
      <c r="X8" s="248"/>
      <c r="Y8" s="26"/>
    </row>
    <row r="9" spans="1:25" s="2" customFormat="1" ht="14.25" customHeight="1" x14ac:dyDescent="0.2">
      <c r="A9" s="304"/>
      <c r="B9" s="305"/>
      <c r="C9" s="305"/>
      <c r="D9" s="305"/>
      <c r="E9" s="305"/>
      <c r="F9" s="305"/>
      <c r="G9" s="305"/>
      <c r="H9" s="305"/>
      <c r="I9" s="305"/>
      <c r="J9" s="305"/>
      <c r="K9" s="305"/>
      <c r="L9" s="306"/>
      <c r="N9" s="26"/>
      <c r="O9" s="245"/>
      <c r="P9" s="246"/>
      <c r="Q9" s="246"/>
      <c r="R9" s="247"/>
      <c r="S9" s="240"/>
      <c r="T9" s="240"/>
      <c r="U9" s="240"/>
      <c r="V9" s="240"/>
      <c r="W9" s="240"/>
      <c r="X9" s="240"/>
      <c r="Y9" s="26"/>
    </row>
    <row r="10" spans="1:25" s="2" customFormat="1" ht="8.25" customHeight="1" x14ac:dyDescent="0.2">
      <c r="A10" s="304"/>
      <c r="B10" s="305"/>
      <c r="C10" s="305"/>
      <c r="D10" s="305"/>
      <c r="E10" s="305"/>
      <c r="F10" s="305"/>
      <c r="G10" s="305"/>
      <c r="H10" s="305"/>
      <c r="I10" s="305"/>
      <c r="J10" s="305"/>
      <c r="K10" s="305"/>
      <c r="L10" s="306"/>
      <c r="N10" s="26"/>
      <c r="O10" s="242" t="s">
        <v>189</v>
      </c>
      <c r="P10" s="243"/>
      <c r="Q10" s="243"/>
      <c r="R10" s="244"/>
      <c r="S10" s="240"/>
      <c r="T10" s="240"/>
      <c r="U10" s="240"/>
      <c r="V10" s="240"/>
      <c r="W10" s="240"/>
      <c r="X10" s="240"/>
      <c r="Y10" s="26"/>
    </row>
    <row r="11" spans="1:25" s="2" customFormat="1" ht="8.25" customHeight="1" x14ac:dyDescent="0.2">
      <c r="A11" s="304"/>
      <c r="B11" s="305"/>
      <c r="C11" s="305"/>
      <c r="D11" s="305"/>
      <c r="E11" s="305"/>
      <c r="F11" s="305"/>
      <c r="G11" s="305"/>
      <c r="H11" s="305"/>
      <c r="I11" s="305"/>
      <c r="J11" s="305"/>
      <c r="K11" s="305"/>
      <c r="L11" s="306"/>
      <c r="N11" s="26"/>
      <c r="O11" s="245"/>
      <c r="P11" s="246"/>
      <c r="Q11" s="246"/>
      <c r="R11" s="247"/>
      <c r="S11" s="240"/>
      <c r="T11" s="240"/>
      <c r="U11" s="240"/>
      <c r="V11" s="240"/>
      <c r="W11" s="240"/>
      <c r="X11" s="240"/>
      <c r="Y11" s="26"/>
    </row>
    <row r="12" spans="1:25" s="2" customFormat="1" ht="24.75" customHeight="1" x14ac:dyDescent="0.2">
      <c r="A12" s="304"/>
      <c r="B12" s="305"/>
      <c r="C12" s="305"/>
      <c r="D12" s="305"/>
      <c r="E12" s="305"/>
      <c r="F12" s="305"/>
      <c r="G12" s="305"/>
      <c r="H12" s="305"/>
      <c r="I12" s="305"/>
      <c r="J12" s="305"/>
      <c r="K12" s="305"/>
      <c r="L12" s="306"/>
      <c r="N12" s="26"/>
      <c r="O12" s="249" t="s">
        <v>39</v>
      </c>
      <c r="P12" s="249"/>
      <c r="Q12" s="249"/>
      <c r="R12" s="249"/>
      <c r="S12" s="250"/>
      <c r="T12" s="251"/>
      <c r="U12" s="251"/>
      <c r="V12" s="251"/>
      <c r="W12" s="251"/>
      <c r="X12" s="252"/>
      <c r="Y12" s="26"/>
    </row>
    <row r="13" spans="1:25" s="2" customFormat="1" ht="21.75" customHeight="1" x14ac:dyDescent="0.2">
      <c r="A13" s="304"/>
      <c r="B13" s="305"/>
      <c r="C13" s="305"/>
      <c r="D13" s="305"/>
      <c r="E13" s="305"/>
      <c r="F13" s="305"/>
      <c r="G13" s="305"/>
      <c r="H13" s="305"/>
      <c r="I13" s="305"/>
      <c r="J13" s="305"/>
      <c r="K13" s="305"/>
      <c r="L13" s="306"/>
      <c r="N13" s="26"/>
      <c r="O13" s="253" t="s">
        <v>207</v>
      </c>
      <c r="P13" s="254"/>
      <c r="Q13" s="254"/>
      <c r="R13" s="255"/>
      <c r="S13" s="250"/>
      <c r="T13" s="251"/>
      <c r="U13" s="251"/>
      <c r="V13" s="251"/>
      <c r="W13" s="251"/>
      <c r="X13" s="252"/>
      <c r="Y13" s="26"/>
    </row>
    <row r="14" spans="1:25" s="2" customFormat="1" ht="18.75" customHeight="1" x14ac:dyDescent="0.2">
      <c r="A14" s="304"/>
      <c r="B14" s="305"/>
      <c r="C14" s="305"/>
      <c r="D14" s="305"/>
      <c r="E14" s="305"/>
      <c r="F14" s="305"/>
      <c r="G14" s="305"/>
      <c r="H14" s="305"/>
      <c r="I14" s="305"/>
      <c r="J14" s="305"/>
      <c r="K14" s="305"/>
      <c r="L14" s="306"/>
      <c r="N14" s="26"/>
      <c r="O14" s="259" t="s">
        <v>208</v>
      </c>
      <c r="P14" s="260"/>
      <c r="Q14" s="260"/>
      <c r="R14" s="261"/>
      <c r="S14" s="250"/>
      <c r="T14" s="251"/>
      <c r="U14" s="251"/>
      <c r="V14" s="251"/>
      <c r="W14" s="251"/>
      <c r="X14" s="252"/>
      <c r="Y14" s="26"/>
    </row>
    <row r="15" spans="1:25" s="2" customFormat="1" ht="22.5" customHeight="1" x14ac:dyDescent="0.2">
      <c r="A15" s="304"/>
      <c r="B15" s="305"/>
      <c r="C15" s="305"/>
      <c r="D15" s="305"/>
      <c r="E15" s="305"/>
      <c r="F15" s="305"/>
      <c r="G15" s="305"/>
      <c r="H15" s="305"/>
      <c r="I15" s="305"/>
      <c r="J15" s="305"/>
      <c r="K15" s="305"/>
      <c r="L15" s="306"/>
      <c r="N15" s="26"/>
      <c r="O15" s="253" t="s">
        <v>209</v>
      </c>
      <c r="P15" s="254"/>
      <c r="Q15" s="254"/>
      <c r="R15" s="255"/>
      <c r="S15" s="256"/>
      <c r="T15" s="257"/>
      <c r="U15" s="257"/>
      <c r="V15" s="257"/>
      <c r="W15" s="257"/>
      <c r="X15" s="258"/>
      <c r="Y15" s="26"/>
    </row>
    <row r="16" spans="1:25" s="2" customFormat="1" ht="17.25" customHeight="1" x14ac:dyDescent="0.2">
      <c r="A16" s="304"/>
      <c r="B16" s="305"/>
      <c r="C16" s="305"/>
      <c r="D16" s="305"/>
      <c r="E16" s="305"/>
      <c r="F16" s="305"/>
      <c r="G16" s="305"/>
      <c r="H16" s="305"/>
      <c r="I16" s="305"/>
      <c r="J16" s="305"/>
      <c r="K16" s="305"/>
      <c r="L16" s="306"/>
      <c r="N16" s="26"/>
      <c r="O16" s="239" t="s">
        <v>190</v>
      </c>
      <c r="P16" s="239"/>
      <c r="Q16" s="239"/>
      <c r="R16" s="239"/>
      <c r="S16" s="240"/>
      <c r="T16" s="240"/>
      <c r="U16" s="240"/>
      <c r="V16" s="240"/>
      <c r="W16" s="240"/>
      <c r="X16" s="240"/>
      <c r="Y16" s="26"/>
    </row>
    <row r="17" spans="1:25" s="2" customFormat="1" ht="11.25" customHeight="1" x14ac:dyDescent="0.2">
      <c r="A17" s="304"/>
      <c r="B17" s="305"/>
      <c r="C17" s="305"/>
      <c r="D17" s="305"/>
      <c r="E17" s="305"/>
      <c r="F17" s="305"/>
      <c r="G17" s="305"/>
      <c r="H17" s="305"/>
      <c r="I17" s="305"/>
      <c r="J17" s="305"/>
      <c r="K17" s="305"/>
      <c r="L17" s="306"/>
      <c r="N17" s="26"/>
      <c r="O17" s="241" t="s">
        <v>200</v>
      </c>
      <c r="P17" s="241"/>
      <c r="Q17" s="241"/>
      <c r="R17" s="241"/>
      <c r="S17" s="241"/>
      <c r="T17" s="241"/>
      <c r="U17" s="241"/>
      <c r="V17" s="241"/>
      <c r="W17" s="241"/>
      <c r="X17" s="241"/>
      <c r="Y17" s="26"/>
    </row>
    <row r="18" spans="1:25" s="2" customFormat="1" ht="11.25" customHeight="1" x14ac:dyDescent="0.2">
      <c r="A18" s="304"/>
      <c r="B18" s="305"/>
      <c r="C18" s="305"/>
      <c r="D18" s="305"/>
      <c r="E18" s="305"/>
      <c r="F18" s="305"/>
      <c r="G18" s="305"/>
      <c r="H18" s="305"/>
      <c r="I18" s="305"/>
      <c r="J18" s="305"/>
      <c r="K18" s="305"/>
      <c r="L18" s="306"/>
      <c r="N18" s="26"/>
      <c r="O18" s="241"/>
      <c r="P18" s="241"/>
      <c r="Q18" s="241"/>
      <c r="R18" s="241"/>
      <c r="S18" s="241"/>
      <c r="T18" s="241"/>
      <c r="U18" s="241"/>
      <c r="V18" s="241"/>
      <c r="W18" s="241"/>
      <c r="X18" s="241"/>
      <c r="Y18" s="26"/>
    </row>
    <row r="19" spans="1:25" s="2" customFormat="1" ht="11.25" customHeight="1" x14ac:dyDescent="0.2">
      <c r="A19" s="304"/>
      <c r="B19" s="305"/>
      <c r="C19" s="305"/>
      <c r="D19" s="305"/>
      <c r="E19" s="305"/>
      <c r="F19" s="305"/>
      <c r="G19" s="305"/>
      <c r="H19" s="305"/>
      <c r="I19" s="305"/>
      <c r="J19" s="305"/>
      <c r="K19" s="305"/>
      <c r="L19" s="306"/>
      <c r="N19" s="26"/>
      <c r="O19" s="241"/>
      <c r="P19" s="241"/>
      <c r="Q19" s="241"/>
      <c r="R19" s="241"/>
      <c r="S19" s="241"/>
      <c r="T19" s="241"/>
      <c r="U19" s="241"/>
      <c r="V19" s="241"/>
      <c r="W19" s="241"/>
      <c r="X19" s="241"/>
      <c r="Y19" s="26"/>
    </row>
    <row r="20" spans="1:25" s="2" customFormat="1" ht="11.25" customHeight="1" x14ac:dyDescent="0.2">
      <c r="A20" s="304"/>
      <c r="B20" s="305"/>
      <c r="C20" s="305"/>
      <c r="D20" s="305"/>
      <c r="E20" s="305"/>
      <c r="F20" s="305"/>
      <c r="G20" s="305"/>
      <c r="H20" s="305"/>
      <c r="I20" s="305"/>
      <c r="J20" s="305"/>
      <c r="K20" s="305"/>
      <c r="L20" s="306"/>
      <c r="N20" s="26"/>
      <c r="O20" s="241"/>
      <c r="P20" s="241"/>
      <c r="Q20" s="241"/>
      <c r="R20" s="241"/>
      <c r="S20" s="241"/>
      <c r="T20" s="241"/>
      <c r="U20" s="241"/>
      <c r="V20" s="241"/>
      <c r="W20" s="241"/>
      <c r="X20" s="241"/>
      <c r="Y20" s="26"/>
    </row>
    <row r="21" spans="1:25" s="2" customFormat="1" ht="3.75" customHeight="1" x14ac:dyDescent="0.2">
      <c r="A21" s="304"/>
      <c r="B21" s="305"/>
      <c r="C21" s="305"/>
      <c r="D21" s="305"/>
      <c r="E21" s="305"/>
      <c r="F21" s="305"/>
      <c r="G21" s="305"/>
      <c r="H21" s="305"/>
      <c r="I21" s="305"/>
      <c r="J21" s="305"/>
      <c r="K21" s="305"/>
      <c r="L21" s="306"/>
      <c r="N21" s="26"/>
      <c r="O21" s="99"/>
      <c r="P21" s="99"/>
      <c r="Q21" s="99"/>
      <c r="R21" s="99"/>
      <c r="S21" s="98"/>
      <c r="T21" s="98"/>
      <c r="U21" s="98"/>
      <c r="V21" s="98"/>
      <c r="W21" s="98"/>
      <c r="X21" s="98"/>
      <c r="Y21" s="26"/>
    </row>
    <row r="22" spans="1:25" s="2" customFormat="1" ht="3.75" customHeight="1" x14ac:dyDescent="0.2">
      <c r="A22" s="304"/>
      <c r="B22" s="305"/>
      <c r="C22" s="305"/>
      <c r="D22" s="305"/>
      <c r="E22" s="305"/>
      <c r="F22" s="305"/>
      <c r="G22" s="305"/>
      <c r="H22" s="305"/>
      <c r="I22" s="305"/>
      <c r="J22" s="305"/>
      <c r="K22" s="305"/>
      <c r="L22" s="306"/>
      <c r="N22" s="26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6"/>
    </row>
    <row r="23" spans="1:25" s="2" customFormat="1" ht="11.25" customHeight="1" x14ac:dyDescent="0.2">
      <c r="A23" s="304"/>
      <c r="B23" s="305"/>
      <c r="C23" s="305"/>
      <c r="D23" s="305"/>
      <c r="E23" s="305"/>
      <c r="F23" s="305"/>
      <c r="G23" s="305"/>
      <c r="H23" s="305"/>
      <c r="I23" s="305"/>
      <c r="J23" s="305"/>
      <c r="K23" s="305"/>
      <c r="L23" s="306"/>
      <c r="N23" s="26"/>
      <c r="O23" s="266" t="s">
        <v>81</v>
      </c>
      <c r="P23" s="259" t="s">
        <v>95</v>
      </c>
      <c r="Q23" s="260"/>
      <c r="R23" s="260"/>
      <c r="S23" s="260"/>
      <c r="T23" s="261"/>
      <c r="U23" s="335"/>
      <c r="V23" s="336"/>
      <c r="W23" s="336"/>
      <c r="X23" s="337"/>
      <c r="Y23" s="26"/>
    </row>
    <row r="24" spans="1:25" s="2" customFormat="1" ht="11.25" customHeight="1" x14ac:dyDescent="0.2">
      <c r="A24" s="304"/>
      <c r="B24" s="305"/>
      <c r="C24" s="305"/>
      <c r="D24" s="305"/>
      <c r="E24" s="305"/>
      <c r="F24" s="305"/>
      <c r="G24" s="305"/>
      <c r="H24" s="305"/>
      <c r="I24" s="305"/>
      <c r="J24" s="305"/>
      <c r="K24" s="305"/>
      <c r="L24" s="306"/>
      <c r="N24" s="26"/>
      <c r="O24" s="267"/>
      <c r="P24" s="332"/>
      <c r="Q24" s="333"/>
      <c r="R24" s="333"/>
      <c r="S24" s="333"/>
      <c r="T24" s="334"/>
      <c r="U24" s="338"/>
      <c r="V24" s="339"/>
      <c r="W24" s="339"/>
      <c r="X24" s="340"/>
      <c r="Y24" s="26"/>
    </row>
    <row r="25" spans="1:25" s="2" customFormat="1" ht="11.25" customHeight="1" x14ac:dyDescent="0.2">
      <c r="A25" s="304"/>
      <c r="B25" s="305"/>
      <c r="C25" s="305"/>
      <c r="D25" s="305"/>
      <c r="E25" s="305"/>
      <c r="F25" s="305"/>
      <c r="G25" s="305"/>
      <c r="H25" s="305"/>
      <c r="I25" s="305"/>
      <c r="J25" s="305"/>
      <c r="K25" s="305"/>
      <c r="L25" s="306"/>
      <c r="N25" s="26"/>
      <c r="O25" s="267"/>
      <c r="P25" s="281" t="s">
        <v>194</v>
      </c>
      <c r="Q25" s="282"/>
      <c r="R25" s="282"/>
      <c r="S25" s="282"/>
      <c r="T25" s="283"/>
      <c r="U25" s="287"/>
      <c r="V25" s="288"/>
      <c r="W25" s="288"/>
      <c r="X25" s="289"/>
      <c r="Y25" s="26"/>
    </row>
    <row r="26" spans="1:25" s="2" customFormat="1" ht="11.25" customHeight="1" x14ac:dyDescent="0.2">
      <c r="A26" s="304"/>
      <c r="B26" s="305"/>
      <c r="C26" s="305"/>
      <c r="D26" s="305"/>
      <c r="E26" s="305"/>
      <c r="F26" s="305"/>
      <c r="G26" s="305"/>
      <c r="H26" s="305"/>
      <c r="I26" s="305"/>
      <c r="J26" s="305"/>
      <c r="K26" s="305"/>
      <c r="L26" s="306"/>
      <c r="N26" s="26"/>
      <c r="O26" s="267"/>
      <c r="P26" s="284"/>
      <c r="Q26" s="285"/>
      <c r="R26" s="285"/>
      <c r="S26" s="285"/>
      <c r="T26" s="286"/>
      <c r="U26" s="290"/>
      <c r="V26" s="291"/>
      <c r="W26" s="291"/>
      <c r="X26" s="292"/>
      <c r="Y26" s="26"/>
    </row>
    <row r="27" spans="1:25" s="2" customFormat="1" ht="11.25" customHeight="1" x14ac:dyDescent="0.2">
      <c r="A27" s="304"/>
      <c r="B27" s="305"/>
      <c r="C27" s="305"/>
      <c r="D27" s="305"/>
      <c r="E27" s="305"/>
      <c r="F27" s="305"/>
      <c r="G27" s="305"/>
      <c r="H27" s="305"/>
      <c r="I27" s="305"/>
      <c r="J27" s="305"/>
      <c r="K27" s="305"/>
      <c r="L27" s="306"/>
      <c r="N27" s="26"/>
      <c r="O27" s="267"/>
      <c r="P27" s="281" t="s">
        <v>195</v>
      </c>
      <c r="Q27" s="282"/>
      <c r="R27" s="282"/>
      <c r="S27" s="282"/>
      <c r="T27" s="283"/>
      <c r="U27" s="287"/>
      <c r="V27" s="288"/>
      <c r="W27" s="288"/>
      <c r="X27" s="289"/>
      <c r="Y27" s="26"/>
    </row>
    <row r="28" spans="1:25" s="2" customFormat="1" ht="11.25" customHeight="1" x14ac:dyDescent="0.2">
      <c r="A28" s="304"/>
      <c r="B28" s="305"/>
      <c r="C28" s="305"/>
      <c r="D28" s="305"/>
      <c r="E28" s="305"/>
      <c r="F28" s="305"/>
      <c r="G28" s="305"/>
      <c r="H28" s="305"/>
      <c r="I28" s="305"/>
      <c r="J28" s="305"/>
      <c r="K28" s="305"/>
      <c r="L28" s="306"/>
      <c r="N28" s="26"/>
      <c r="O28" s="267"/>
      <c r="P28" s="284"/>
      <c r="Q28" s="285"/>
      <c r="R28" s="285"/>
      <c r="S28" s="285"/>
      <c r="T28" s="286"/>
      <c r="U28" s="290"/>
      <c r="V28" s="291"/>
      <c r="W28" s="291"/>
      <c r="X28" s="292"/>
      <c r="Y28" s="26"/>
    </row>
    <row r="29" spans="1:25" s="2" customFormat="1" ht="14.25" customHeight="1" x14ac:dyDescent="0.2">
      <c r="A29" s="307"/>
      <c r="B29" s="308"/>
      <c r="C29" s="308"/>
      <c r="D29" s="308"/>
      <c r="E29" s="308"/>
      <c r="F29" s="308"/>
      <c r="G29" s="308"/>
      <c r="H29" s="308"/>
      <c r="I29" s="308"/>
      <c r="J29" s="308"/>
      <c r="K29" s="308"/>
      <c r="L29" s="309"/>
      <c r="N29" s="26"/>
      <c r="O29" s="267"/>
      <c r="P29" s="269" t="s">
        <v>196</v>
      </c>
      <c r="Q29" s="270"/>
      <c r="R29" s="270"/>
      <c r="S29" s="270"/>
      <c r="T29" s="271"/>
      <c r="U29" s="272"/>
      <c r="V29" s="273"/>
      <c r="W29" s="273"/>
      <c r="X29" s="274"/>
      <c r="Y29" s="26"/>
    </row>
    <row r="30" spans="1:25" s="2" customFormat="1" ht="14.25" customHeight="1" x14ac:dyDescent="0.2">
      <c r="N30" s="26"/>
      <c r="O30" s="267"/>
      <c r="P30" s="326" t="s">
        <v>197</v>
      </c>
      <c r="Q30" s="327"/>
      <c r="R30" s="327"/>
      <c r="S30" s="327"/>
      <c r="T30" s="328"/>
      <c r="U30" s="329"/>
      <c r="V30" s="330"/>
      <c r="W30" s="330"/>
      <c r="X30" s="331"/>
      <c r="Y30" s="26"/>
    </row>
    <row r="31" spans="1:25" s="2" customFormat="1" ht="11.25" customHeight="1" x14ac:dyDescent="0.2">
      <c r="A31" s="312" t="s">
        <v>204</v>
      </c>
      <c r="B31" s="312"/>
      <c r="C31" s="312"/>
      <c r="D31" s="312"/>
      <c r="E31" s="312"/>
      <c r="F31" s="312"/>
      <c r="G31" s="312"/>
      <c r="H31" s="312"/>
      <c r="I31" s="312"/>
      <c r="J31" s="312"/>
      <c r="K31" s="312"/>
      <c r="L31" s="312"/>
      <c r="N31" s="26"/>
      <c r="O31" s="267"/>
      <c r="P31" s="320" t="s">
        <v>210</v>
      </c>
      <c r="Q31" s="321"/>
      <c r="R31" s="321"/>
      <c r="S31" s="321"/>
      <c r="T31" s="322"/>
      <c r="U31" s="275"/>
      <c r="V31" s="276"/>
      <c r="W31" s="276"/>
      <c r="X31" s="277"/>
      <c r="Y31" s="26"/>
    </row>
    <row r="32" spans="1:25" s="2" customFormat="1" ht="11.25" customHeight="1" x14ac:dyDescent="0.2">
      <c r="A32" s="312"/>
      <c r="B32" s="312"/>
      <c r="C32" s="312"/>
      <c r="D32" s="312"/>
      <c r="E32" s="312"/>
      <c r="F32" s="312"/>
      <c r="G32" s="312"/>
      <c r="H32" s="312"/>
      <c r="I32" s="312"/>
      <c r="J32" s="312"/>
      <c r="K32" s="312"/>
      <c r="L32" s="312"/>
      <c r="N32" s="26"/>
      <c r="O32" s="267"/>
      <c r="P32" s="323"/>
      <c r="Q32" s="324"/>
      <c r="R32" s="324"/>
      <c r="S32" s="324"/>
      <c r="T32" s="325"/>
      <c r="U32" s="278"/>
      <c r="V32" s="279"/>
      <c r="W32" s="279"/>
      <c r="X32" s="280"/>
      <c r="Y32" s="26"/>
    </row>
    <row r="33" spans="1:25" s="2" customFormat="1" ht="11.25" customHeight="1" x14ac:dyDescent="0.2">
      <c r="A33" s="312"/>
      <c r="B33" s="312"/>
      <c r="C33" s="312"/>
      <c r="D33" s="312"/>
      <c r="E33" s="312"/>
      <c r="F33" s="312"/>
      <c r="G33" s="312"/>
      <c r="H33" s="312"/>
      <c r="I33" s="312"/>
      <c r="J33" s="312"/>
      <c r="K33" s="312"/>
      <c r="L33" s="312"/>
      <c r="N33" s="26"/>
      <c r="O33" s="267"/>
      <c r="P33" s="314" t="s">
        <v>36</v>
      </c>
      <c r="Q33" s="315"/>
      <c r="R33" s="315"/>
      <c r="S33" s="315"/>
      <c r="T33" s="316"/>
      <c r="U33" s="275"/>
      <c r="V33" s="276"/>
      <c r="W33" s="276"/>
      <c r="X33" s="277"/>
      <c r="Y33" s="26"/>
    </row>
    <row r="34" spans="1:25" s="2" customFormat="1" ht="11.25" customHeight="1" x14ac:dyDescent="0.2">
      <c r="A34" s="312"/>
      <c r="B34" s="312"/>
      <c r="C34" s="312"/>
      <c r="D34" s="312"/>
      <c r="E34" s="312"/>
      <c r="F34" s="312"/>
      <c r="G34" s="312"/>
      <c r="H34" s="312"/>
      <c r="I34" s="312"/>
      <c r="J34" s="312"/>
      <c r="K34" s="312"/>
      <c r="L34" s="312"/>
      <c r="N34" s="26"/>
      <c r="O34" s="267"/>
      <c r="P34" s="317"/>
      <c r="Q34" s="318"/>
      <c r="R34" s="318"/>
      <c r="S34" s="318"/>
      <c r="T34" s="319"/>
      <c r="U34" s="278"/>
      <c r="V34" s="279"/>
      <c r="W34" s="279"/>
      <c r="X34" s="280"/>
      <c r="Y34" s="26"/>
    </row>
    <row r="35" spans="1:25" s="2" customFormat="1" ht="11.25" customHeight="1" x14ac:dyDescent="0.2">
      <c r="A35" s="312"/>
      <c r="B35" s="312"/>
      <c r="C35" s="312"/>
      <c r="D35" s="312"/>
      <c r="E35" s="312"/>
      <c r="F35" s="312"/>
      <c r="G35" s="312"/>
      <c r="H35" s="312"/>
      <c r="I35" s="312"/>
      <c r="J35" s="312"/>
      <c r="K35" s="312"/>
      <c r="L35" s="312"/>
      <c r="N35" s="26"/>
      <c r="O35" s="267"/>
      <c r="P35" s="320" t="s">
        <v>198</v>
      </c>
      <c r="Q35" s="321"/>
      <c r="R35" s="321"/>
      <c r="S35" s="321"/>
      <c r="T35" s="322"/>
      <c r="U35" s="275"/>
      <c r="V35" s="276"/>
      <c r="W35" s="276"/>
      <c r="X35" s="277"/>
      <c r="Y35" s="26"/>
    </row>
    <row r="36" spans="1:25" s="2" customFormat="1" ht="11.25" customHeight="1" x14ac:dyDescent="0.2">
      <c r="A36" s="81" t="s">
        <v>97</v>
      </c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N36" s="26"/>
      <c r="O36" s="267"/>
      <c r="P36" s="323"/>
      <c r="Q36" s="324"/>
      <c r="R36" s="324"/>
      <c r="S36" s="324"/>
      <c r="T36" s="325"/>
      <c r="U36" s="278"/>
      <c r="V36" s="279"/>
      <c r="W36" s="279"/>
      <c r="X36" s="280"/>
      <c r="Y36" s="26"/>
    </row>
    <row r="37" spans="1:25" s="2" customFormat="1" ht="11.25" customHeight="1" x14ac:dyDescent="0.2">
      <c r="A37" s="208" t="s">
        <v>185</v>
      </c>
      <c r="B37" s="208"/>
      <c r="C37" s="208"/>
      <c r="D37" s="208"/>
      <c r="E37" s="208"/>
      <c r="F37" s="208"/>
      <c r="G37" s="208"/>
      <c r="H37" s="208"/>
      <c r="I37" s="208"/>
      <c r="J37" s="208"/>
      <c r="K37" s="208"/>
      <c r="L37" s="25"/>
      <c r="N37" s="26"/>
      <c r="O37" s="267"/>
      <c r="P37" s="314" t="s">
        <v>191</v>
      </c>
      <c r="Q37" s="315"/>
      <c r="R37" s="315"/>
      <c r="S37" s="315"/>
      <c r="T37" s="316"/>
      <c r="U37" s="275"/>
      <c r="V37" s="276"/>
      <c r="W37" s="276"/>
      <c r="X37" s="277"/>
      <c r="Y37" s="26"/>
    </row>
    <row r="38" spans="1:25" s="2" customFormat="1" ht="12" customHeight="1" x14ac:dyDescent="0.2">
      <c r="A38" s="313" t="s">
        <v>211</v>
      </c>
      <c r="B38" s="313"/>
      <c r="C38" s="313"/>
      <c r="D38" s="313"/>
      <c r="E38" s="313"/>
      <c r="F38" s="313"/>
      <c r="G38" s="313"/>
      <c r="H38" s="313"/>
      <c r="I38" s="313"/>
      <c r="J38" s="313"/>
      <c r="K38" s="313"/>
      <c r="L38" s="313"/>
      <c r="N38" s="26"/>
      <c r="O38" s="268"/>
      <c r="P38" s="317"/>
      <c r="Q38" s="318"/>
      <c r="R38" s="318"/>
      <c r="S38" s="318"/>
      <c r="T38" s="319"/>
      <c r="U38" s="278"/>
      <c r="V38" s="279"/>
      <c r="W38" s="279"/>
      <c r="X38" s="280"/>
      <c r="Y38" s="26"/>
    </row>
    <row r="39" spans="1:25" s="2" customFormat="1" ht="11.25" customHeight="1" x14ac:dyDescent="0.2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N39" s="26"/>
      <c r="Y39" s="26"/>
    </row>
    <row r="40" spans="1:25" s="2" customFormat="1" ht="11.25" customHeight="1" x14ac:dyDescent="0.2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N40" s="26"/>
      <c r="O40" s="311" t="s">
        <v>37</v>
      </c>
      <c r="P40" s="263" t="s">
        <v>199</v>
      </c>
      <c r="Q40" s="264"/>
      <c r="R40" s="264"/>
      <c r="S40" s="264"/>
      <c r="T40" s="264"/>
      <c r="U40" s="265"/>
      <c r="V40" s="265"/>
      <c r="W40" s="265"/>
      <c r="X40" s="265"/>
      <c r="Y40" s="26"/>
    </row>
    <row r="41" spans="1:25" s="2" customFormat="1" ht="11.25" customHeight="1" x14ac:dyDescent="0.2">
      <c r="N41" s="26"/>
      <c r="O41" s="311"/>
      <c r="P41" s="263"/>
      <c r="Q41" s="264"/>
      <c r="R41" s="264"/>
      <c r="S41" s="264"/>
      <c r="T41" s="264"/>
      <c r="U41" s="265"/>
      <c r="V41" s="265"/>
      <c r="W41" s="265"/>
      <c r="X41" s="265"/>
      <c r="Y41" s="26"/>
    </row>
    <row r="42" spans="1:25" s="2" customFormat="1" ht="11.25" customHeight="1" x14ac:dyDescent="0.2">
      <c r="N42" s="26"/>
      <c r="O42" s="311"/>
      <c r="P42" s="263" t="s">
        <v>192</v>
      </c>
      <c r="Q42" s="264"/>
      <c r="R42" s="264"/>
      <c r="S42" s="264"/>
      <c r="T42" s="264"/>
      <c r="U42" s="265"/>
      <c r="V42" s="265"/>
      <c r="W42" s="265"/>
      <c r="X42" s="265"/>
      <c r="Y42" s="26"/>
    </row>
    <row r="43" spans="1:25" s="2" customFormat="1" ht="11.25" customHeight="1" x14ac:dyDescent="0.2">
      <c r="N43" s="26"/>
      <c r="O43" s="311"/>
      <c r="P43" s="263"/>
      <c r="Q43" s="264"/>
      <c r="R43" s="264"/>
      <c r="S43" s="264"/>
      <c r="T43" s="264"/>
      <c r="U43" s="265"/>
      <c r="V43" s="265"/>
      <c r="W43" s="265"/>
      <c r="X43" s="265"/>
      <c r="Y43" s="26"/>
    </row>
    <row r="44" spans="1:25" s="2" customFormat="1" ht="11.25" customHeight="1" x14ac:dyDescent="0.2">
      <c r="N44" s="26"/>
      <c r="O44" s="311"/>
      <c r="P44" s="263" t="s">
        <v>193</v>
      </c>
      <c r="Q44" s="264"/>
      <c r="R44" s="264"/>
      <c r="S44" s="264"/>
      <c r="T44" s="264"/>
      <c r="U44" s="265"/>
      <c r="V44" s="265"/>
      <c r="W44" s="265"/>
      <c r="X44" s="265"/>
      <c r="Y44" s="26"/>
    </row>
    <row r="45" spans="1:25" s="2" customFormat="1" ht="11.25" customHeight="1" x14ac:dyDescent="0.2">
      <c r="N45" s="26"/>
      <c r="O45" s="311"/>
      <c r="P45" s="263"/>
      <c r="Q45" s="264"/>
      <c r="R45" s="264"/>
      <c r="S45" s="264"/>
      <c r="T45" s="264"/>
      <c r="U45" s="265"/>
      <c r="V45" s="265"/>
      <c r="W45" s="265"/>
      <c r="X45" s="265"/>
      <c r="Y45" s="26"/>
    </row>
    <row r="46" spans="1:25" s="2" customFormat="1" ht="11.25" customHeight="1" x14ac:dyDescent="0.2">
      <c r="A46" s="208"/>
      <c r="B46" s="208"/>
      <c r="C46" s="208"/>
      <c r="D46" s="208"/>
      <c r="E46" s="208"/>
      <c r="F46" s="208"/>
      <c r="G46" s="208"/>
      <c r="H46" s="208"/>
      <c r="I46" s="208"/>
      <c r="J46" s="208"/>
      <c r="K46" s="208"/>
      <c r="L46" s="208"/>
      <c r="N46" s="26"/>
      <c r="O46" s="84"/>
      <c r="P46" s="26"/>
      <c r="Q46" s="26"/>
      <c r="R46" s="26"/>
      <c r="S46" s="26"/>
      <c r="T46" s="26"/>
      <c r="U46" s="26"/>
      <c r="V46" s="26"/>
      <c r="W46" s="26"/>
      <c r="X46" s="26"/>
      <c r="Y46" s="26"/>
    </row>
    <row r="47" spans="1:25" s="2" customFormat="1" ht="11.25" customHeight="1" x14ac:dyDescent="0.25">
      <c r="A47" s="83"/>
      <c r="B47" s="82"/>
      <c r="C47" s="82"/>
      <c r="D47" s="82"/>
      <c r="E47" s="82"/>
      <c r="F47" s="82"/>
      <c r="G47" s="82"/>
      <c r="H47" s="82"/>
      <c r="I47" s="82"/>
      <c r="J47" s="82"/>
      <c r="K47" s="82"/>
      <c r="L47" s="82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</row>
    <row r="48" spans="1:25" s="2" customFormat="1" ht="11.25" customHeight="1" x14ac:dyDescent="0.2">
      <c r="A48" s="341" t="s">
        <v>183</v>
      </c>
      <c r="B48" s="341"/>
      <c r="C48" s="341"/>
      <c r="D48" s="341"/>
      <c r="E48" s="341"/>
      <c r="F48" s="341"/>
      <c r="G48" s="341"/>
      <c r="H48" s="25"/>
      <c r="I48" s="25"/>
      <c r="J48" s="25"/>
      <c r="K48" s="25"/>
      <c r="L48" s="25"/>
      <c r="N48" s="26"/>
      <c r="O48" s="26"/>
      <c r="P48" s="26"/>
      <c r="Q48" s="26"/>
      <c r="R48" s="26"/>
      <c r="S48" s="262" t="s">
        <v>184</v>
      </c>
      <c r="T48" s="262"/>
      <c r="U48" s="262"/>
      <c r="V48" s="262"/>
      <c r="W48" s="262"/>
      <c r="X48" s="262"/>
      <c r="Y48" s="26"/>
    </row>
    <row r="49" spans="1:25" s="2" customFormat="1" ht="11.25" customHeight="1" x14ac:dyDescent="0.2"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</row>
    <row r="50" spans="1:25" s="2" customFormat="1" ht="11.25" customHeight="1" x14ac:dyDescent="0.2"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</row>
    <row r="51" spans="1:25" s="2" customFormat="1" ht="11.25" customHeight="1" x14ac:dyDescent="0.2"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</row>
    <row r="52" spans="1:25" s="2" customFormat="1" ht="11.25" customHeight="1" x14ac:dyDescent="0.2">
      <c r="A52" s="208"/>
      <c r="B52" s="208"/>
      <c r="C52" s="208"/>
      <c r="D52" s="208"/>
      <c r="E52" s="208"/>
      <c r="F52" s="208"/>
      <c r="G52" s="208"/>
      <c r="H52" s="208"/>
      <c r="I52" s="208"/>
      <c r="J52" s="208"/>
      <c r="K52" s="208"/>
      <c r="L52" s="208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</row>
    <row r="53" spans="1:25" s="2" customFormat="1" ht="11.25" customHeight="1" x14ac:dyDescent="0.25">
      <c r="A53" s="208"/>
      <c r="B53" s="209"/>
      <c r="C53" s="209"/>
      <c r="D53" s="209"/>
      <c r="E53" s="209"/>
      <c r="F53" s="209"/>
      <c r="G53" s="209"/>
      <c r="H53" s="209"/>
      <c r="I53" s="209"/>
      <c r="J53" s="209"/>
      <c r="K53" s="209"/>
      <c r="L53" s="209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</row>
    <row r="54" spans="1:25" s="2" customFormat="1" ht="11.25" customHeight="1" x14ac:dyDescent="0.25">
      <c r="A54" s="208"/>
      <c r="B54" s="209"/>
      <c r="C54" s="209"/>
      <c r="D54" s="209"/>
      <c r="E54" s="209"/>
      <c r="F54" s="209"/>
      <c r="G54" s="209"/>
      <c r="H54" s="209"/>
      <c r="I54" s="209"/>
      <c r="J54" s="209"/>
      <c r="K54" s="209"/>
      <c r="L54" s="209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</row>
    <row r="55" spans="1:25" s="2" customFormat="1" ht="11.25" customHeight="1" x14ac:dyDescent="0.25">
      <c r="A55" s="208"/>
      <c r="B55" s="209"/>
      <c r="C55" s="209"/>
      <c r="D55" s="209"/>
      <c r="E55" s="209"/>
      <c r="F55" s="209"/>
      <c r="G55" s="209"/>
      <c r="H55" s="209"/>
      <c r="I55" s="209"/>
      <c r="J55" s="209"/>
      <c r="K55" s="209"/>
      <c r="L55" s="209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</row>
    <row r="56" spans="1:25" s="2" customFormat="1" ht="11.25" customHeight="1" x14ac:dyDescent="0.25">
      <c r="A56" s="208"/>
      <c r="B56" s="209"/>
      <c r="C56" s="209"/>
      <c r="D56" s="209"/>
      <c r="E56" s="209"/>
      <c r="F56" s="209"/>
      <c r="G56" s="209"/>
      <c r="H56" s="209"/>
      <c r="I56" s="209"/>
      <c r="J56" s="209"/>
      <c r="K56" s="209"/>
      <c r="L56" s="209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</row>
    <row r="57" spans="1:25" s="2" customFormat="1" ht="11.25" customHeight="1" x14ac:dyDescent="0.2"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</row>
    <row r="58" spans="1:25" s="2" customFormat="1" ht="11.25" customHeight="1" x14ac:dyDescent="0.2"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</row>
    <row r="59" spans="1:25" s="2" customFormat="1" ht="11.25" customHeight="1" x14ac:dyDescent="0.2"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</row>
    <row r="60" spans="1:25" s="2" customFormat="1" ht="11.25" customHeight="1" x14ac:dyDescent="0.2"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</row>
    <row r="61" spans="1:25" s="2" customFormat="1" ht="11.25" customHeight="1" x14ac:dyDescent="0.2"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</row>
    <row r="62" spans="1:25" s="2" customFormat="1" ht="11.25" customHeight="1" x14ac:dyDescent="0.2"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</row>
    <row r="63" spans="1:25" s="2" customFormat="1" ht="11.25" customHeight="1" x14ac:dyDescent="0.2"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</row>
    <row r="64" spans="1:25" s="2" customFormat="1" ht="11.25" customHeight="1" x14ac:dyDescent="0.2"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</row>
    <row r="65" spans="14:25" s="2" customFormat="1" ht="11.25" customHeight="1" x14ac:dyDescent="0.2"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</row>
    <row r="66" spans="14:25" s="2" customFormat="1" ht="11.25" customHeight="1" x14ac:dyDescent="0.2"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</row>
    <row r="67" spans="14:25" s="2" customFormat="1" ht="11.25" customHeight="1" x14ac:dyDescent="0.2"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</row>
    <row r="68" spans="14:25" s="2" customFormat="1" ht="11.25" customHeight="1" x14ac:dyDescent="0.2"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</row>
    <row r="69" spans="14:25" s="2" customFormat="1" ht="11.25" customHeight="1" x14ac:dyDescent="0.2"/>
    <row r="70" spans="14:25" s="2" customFormat="1" ht="11.25" customHeight="1" x14ac:dyDescent="0.2"/>
    <row r="71" spans="14:25" s="2" customFormat="1" ht="11.25" customHeight="1" x14ac:dyDescent="0.2"/>
    <row r="72" spans="14:25" s="2" customFormat="1" ht="11.25" customHeight="1" x14ac:dyDescent="0.2"/>
    <row r="73" spans="14:25" s="2" customFormat="1" ht="11.25" customHeight="1" x14ac:dyDescent="0.2"/>
    <row r="74" spans="14:25" s="2" customFormat="1" ht="11.25" customHeight="1" x14ac:dyDescent="0.2"/>
    <row r="75" spans="14:25" s="2" customFormat="1" ht="11.25" customHeight="1" x14ac:dyDescent="0.2"/>
    <row r="76" spans="14:25" s="2" customFormat="1" ht="11.25" customHeight="1" x14ac:dyDescent="0.2"/>
    <row r="77" spans="14:25" s="2" customFormat="1" ht="11.25" customHeight="1" x14ac:dyDescent="0.2"/>
    <row r="78" spans="14:25" s="2" customFormat="1" ht="11.25" customHeight="1" x14ac:dyDescent="0.2"/>
    <row r="79" spans="14:25" s="2" customFormat="1" ht="11.25" customHeight="1" x14ac:dyDescent="0.2"/>
    <row r="80" spans="14:25" s="2" customFormat="1" ht="11.25" customHeight="1" x14ac:dyDescent="0.2"/>
    <row r="81" s="2" customFormat="1" ht="11.25" customHeight="1" x14ac:dyDescent="0.2"/>
    <row r="82" s="2" customFormat="1" ht="11.25" customHeight="1" x14ac:dyDescent="0.2"/>
    <row r="83" s="2" customFormat="1" ht="11.25" customHeight="1" x14ac:dyDescent="0.2"/>
    <row r="84" s="2" customFormat="1" ht="11.25" customHeight="1" x14ac:dyDescent="0.2"/>
    <row r="85" s="2" customFormat="1" ht="11.25" customHeight="1" x14ac:dyDescent="0.2"/>
    <row r="86" s="2" customFormat="1" ht="11.25" customHeight="1" x14ac:dyDescent="0.2"/>
    <row r="87" s="2" customFormat="1" ht="11.25" customHeight="1" x14ac:dyDescent="0.2"/>
    <row r="88" s="2" customFormat="1" ht="11.25" customHeight="1" x14ac:dyDescent="0.2"/>
    <row r="89" s="2" customFormat="1" ht="11.25" customHeight="1" x14ac:dyDescent="0.2"/>
    <row r="90" s="2" customFormat="1" ht="11.25" customHeight="1" x14ac:dyDescent="0.2"/>
    <row r="91" s="2" customFormat="1" ht="11.25" customHeight="1" x14ac:dyDescent="0.2"/>
    <row r="92" s="2" customFormat="1" ht="11.25" customHeight="1" x14ac:dyDescent="0.2"/>
    <row r="93" s="2" customFormat="1" ht="11.25" customHeight="1" x14ac:dyDescent="0.2"/>
    <row r="94" s="2" customFormat="1" ht="11.25" customHeight="1" x14ac:dyDescent="0.2"/>
    <row r="95" s="2" customFormat="1" ht="11.25" customHeight="1" x14ac:dyDescent="0.2"/>
    <row r="96" s="2" customFormat="1" ht="11.25" customHeight="1" x14ac:dyDescent="0.2"/>
    <row r="97" s="2" customFormat="1" ht="11.25" customHeight="1" x14ac:dyDescent="0.2"/>
    <row r="98" s="2" customFormat="1" ht="11.25" customHeight="1" x14ac:dyDescent="0.2"/>
    <row r="99" s="2" customFormat="1" ht="11.25" customHeight="1" x14ac:dyDescent="0.2"/>
    <row r="100" s="2" customFormat="1" ht="11.25" customHeight="1" x14ac:dyDescent="0.2"/>
    <row r="101" s="2" customFormat="1" ht="11.25" customHeight="1" x14ac:dyDescent="0.2"/>
    <row r="102" s="2" customFormat="1" ht="11.25" customHeight="1" x14ac:dyDescent="0.2"/>
    <row r="103" s="2" customFormat="1" ht="11.25" customHeight="1" x14ac:dyDescent="0.2"/>
    <row r="104" s="2" customFormat="1" ht="11.25" customHeight="1" x14ac:dyDescent="0.2"/>
    <row r="105" s="2" customFormat="1" ht="11.25" customHeight="1" x14ac:dyDescent="0.2"/>
    <row r="106" s="2" customFormat="1" ht="11.25" customHeight="1" x14ac:dyDescent="0.2"/>
    <row r="107" s="2" customFormat="1" ht="11.25" customHeight="1" x14ac:dyDescent="0.2"/>
    <row r="108" s="2" customFormat="1" ht="11.25" customHeight="1" x14ac:dyDescent="0.2"/>
    <row r="109" s="2" customFormat="1" ht="11.25" customHeight="1" x14ac:dyDescent="0.2"/>
    <row r="110" s="2" customFormat="1" ht="11.25" customHeight="1" x14ac:dyDescent="0.2"/>
    <row r="111" s="2" customFormat="1" ht="11.25" customHeight="1" x14ac:dyDescent="0.2"/>
    <row r="112" s="2" customFormat="1" ht="11.25" customHeight="1" x14ac:dyDescent="0.2"/>
    <row r="113" s="2" customFormat="1" ht="11.25" customHeight="1" x14ac:dyDescent="0.2"/>
    <row r="114" s="2" customFormat="1" ht="11.25" customHeight="1" x14ac:dyDescent="0.2"/>
    <row r="115" s="2" customFormat="1" ht="11.25" customHeight="1" x14ac:dyDescent="0.2"/>
    <row r="116" s="2" customFormat="1" ht="11.25" customHeight="1" x14ac:dyDescent="0.2"/>
    <row r="117" s="2" customFormat="1" ht="11.25" customHeight="1" x14ac:dyDescent="0.2"/>
    <row r="118" s="2" customFormat="1" ht="11.25" customHeight="1" x14ac:dyDescent="0.2"/>
    <row r="119" s="2" customFormat="1" ht="11.25" customHeight="1" x14ac:dyDescent="0.2"/>
    <row r="120" s="2" customFormat="1" ht="11.25" customHeight="1" x14ac:dyDescent="0.2"/>
    <row r="121" s="2" customFormat="1" ht="11.25" customHeight="1" x14ac:dyDescent="0.2"/>
    <row r="122" s="2" customFormat="1" ht="11.25" customHeight="1" x14ac:dyDescent="0.2"/>
    <row r="123" s="2" customFormat="1" ht="11.25" customHeight="1" x14ac:dyDescent="0.2"/>
    <row r="124" s="2" customFormat="1" ht="11.25" customHeight="1" x14ac:dyDescent="0.2"/>
    <row r="125" s="2" customFormat="1" ht="11.25" customHeight="1" x14ac:dyDescent="0.2"/>
    <row r="126" s="2" customFormat="1" ht="11.25" customHeight="1" x14ac:dyDescent="0.2"/>
    <row r="127" s="2" customFormat="1" ht="11.25" customHeight="1" x14ac:dyDescent="0.2"/>
    <row r="128" s="2" customFormat="1" ht="11.25" customHeight="1" x14ac:dyDescent="0.2"/>
    <row r="129" s="2" customFormat="1" ht="11.25" customHeight="1" x14ac:dyDescent="0.2"/>
    <row r="130" s="2" customFormat="1" ht="11.25" customHeight="1" x14ac:dyDescent="0.2"/>
    <row r="131" s="2" customFormat="1" ht="11.25" customHeight="1" x14ac:dyDescent="0.2"/>
    <row r="132" s="2" customFormat="1" ht="11.25" customHeight="1" x14ac:dyDescent="0.2"/>
    <row r="133" s="2" customFormat="1" ht="11.25" customHeight="1" x14ac:dyDescent="0.2"/>
    <row r="134" s="2" customFormat="1" ht="11.25" customHeight="1" x14ac:dyDescent="0.2"/>
    <row r="135" s="2" customFormat="1" ht="11.25" customHeight="1" x14ac:dyDescent="0.2"/>
    <row r="136" s="2" customFormat="1" ht="11.25" customHeight="1" x14ac:dyDescent="0.2"/>
    <row r="137" s="2" customFormat="1" ht="11.25" customHeight="1" x14ac:dyDescent="0.2"/>
    <row r="138" s="2" customFormat="1" ht="11.25" customHeight="1" x14ac:dyDescent="0.2"/>
    <row r="139" s="2" customFormat="1" ht="11.25" customHeight="1" x14ac:dyDescent="0.2"/>
    <row r="140" s="2" customFormat="1" ht="11.25" customHeight="1" x14ac:dyDescent="0.2"/>
    <row r="141" s="2" customFormat="1" ht="11.25" customHeight="1" x14ac:dyDescent="0.2"/>
    <row r="142" s="2" customFormat="1" ht="11.25" customHeight="1" x14ac:dyDescent="0.2"/>
    <row r="143" s="2" customFormat="1" ht="11.25" customHeight="1" x14ac:dyDescent="0.2"/>
    <row r="144" s="2" customFormat="1" ht="11.25" customHeight="1" x14ac:dyDescent="0.2"/>
    <row r="145" s="2" customFormat="1" ht="11.25" customHeight="1" x14ac:dyDescent="0.2"/>
    <row r="146" s="2" customFormat="1" ht="11.25" customHeight="1" x14ac:dyDescent="0.2"/>
    <row r="147" s="2" customFormat="1" ht="11.25" customHeight="1" x14ac:dyDescent="0.2"/>
    <row r="148" s="2" customFormat="1" ht="11.25" customHeight="1" x14ac:dyDescent="0.2"/>
    <row r="149" s="2" customFormat="1" ht="11.25" customHeight="1" x14ac:dyDescent="0.2"/>
    <row r="150" s="2" customFormat="1" ht="11.25" customHeight="1" x14ac:dyDescent="0.2"/>
    <row r="151" s="2" customFormat="1" ht="11.25" customHeight="1" x14ac:dyDescent="0.2"/>
    <row r="152" s="2" customFormat="1" ht="11.25" customHeight="1" x14ac:dyDescent="0.2"/>
    <row r="153" s="2" customFormat="1" ht="11.25" customHeight="1" x14ac:dyDescent="0.2"/>
    <row r="154" s="2" customFormat="1" ht="11.25" customHeight="1" x14ac:dyDescent="0.2"/>
    <row r="155" s="2" customFormat="1" ht="11.25" customHeight="1" x14ac:dyDescent="0.2"/>
    <row r="156" s="2" customFormat="1" ht="11.25" customHeight="1" x14ac:dyDescent="0.2"/>
    <row r="157" s="2" customFormat="1" ht="11.25" customHeight="1" x14ac:dyDescent="0.2"/>
    <row r="158" s="2" customFormat="1" ht="11.25" customHeight="1" x14ac:dyDescent="0.2"/>
    <row r="159" s="2" customFormat="1" ht="11.25" customHeight="1" x14ac:dyDescent="0.2"/>
    <row r="160" s="2" customFormat="1" ht="11.25" customHeight="1" x14ac:dyDescent="0.2"/>
    <row r="161" s="2" customFormat="1" ht="11.25" customHeight="1" x14ac:dyDescent="0.2"/>
    <row r="162" s="2" customFormat="1" ht="11.25" customHeight="1" x14ac:dyDescent="0.2"/>
    <row r="163" s="2" customFormat="1" ht="11.25" customHeight="1" x14ac:dyDescent="0.2"/>
    <row r="164" s="2" customFormat="1" ht="11.25" customHeight="1" x14ac:dyDescent="0.2"/>
    <row r="165" s="2" customFormat="1" ht="11.25" customHeight="1" x14ac:dyDescent="0.2"/>
    <row r="166" s="2" customFormat="1" ht="11.25" customHeight="1" x14ac:dyDescent="0.2"/>
    <row r="167" s="2" customFormat="1" ht="11.25" customHeight="1" x14ac:dyDescent="0.2"/>
    <row r="168" ht="11.25" customHeight="1" x14ac:dyDescent="0.25"/>
    <row r="169" ht="11.25" customHeight="1" x14ac:dyDescent="0.25"/>
    <row r="170" ht="11.25" customHeight="1" x14ac:dyDescent="0.25"/>
    <row r="171" ht="11.25" customHeight="1" x14ac:dyDescent="0.25"/>
    <row r="172" ht="11.25" customHeight="1" x14ac:dyDescent="0.25"/>
    <row r="173" ht="11.25" customHeight="1" x14ac:dyDescent="0.25"/>
    <row r="174" ht="11.25" customHeight="1" x14ac:dyDescent="0.25"/>
    <row r="175" ht="11.25" customHeight="1" x14ac:dyDescent="0.25"/>
    <row r="176" ht="11.25" customHeight="1" x14ac:dyDescent="0.25"/>
    <row r="177" ht="11.25" customHeight="1" x14ac:dyDescent="0.25"/>
    <row r="178" ht="11.25" customHeight="1" x14ac:dyDescent="0.25"/>
    <row r="179" ht="11.25" customHeight="1" x14ac:dyDescent="0.25"/>
    <row r="180" ht="11.25" customHeight="1" x14ac:dyDescent="0.25"/>
    <row r="181" ht="11.25" customHeight="1" x14ac:dyDescent="0.25"/>
    <row r="182" ht="11.25" customHeight="1" x14ac:dyDescent="0.25"/>
    <row r="183" ht="11.25" customHeight="1" x14ac:dyDescent="0.25"/>
    <row r="184" ht="11.25" customHeight="1" x14ac:dyDescent="0.25"/>
    <row r="185" ht="11.25" customHeight="1" x14ac:dyDescent="0.25"/>
    <row r="186" ht="11.25" customHeight="1" x14ac:dyDescent="0.25"/>
    <row r="187" ht="11.25" customHeight="1" x14ac:dyDescent="0.25"/>
    <row r="188" ht="11.25" customHeight="1" x14ac:dyDescent="0.25"/>
    <row r="189" ht="11.25" customHeight="1" x14ac:dyDescent="0.25"/>
    <row r="190" ht="11.25" customHeight="1" x14ac:dyDescent="0.25"/>
    <row r="191" ht="11.25" customHeight="1" x14ac:dyDescent="0.25"/>
    <row r="192" ht="11.25" customHeight="1" x14ac:dyDescent="0.25"/>
    <row r="193" ht="11.25" customHeight="1" x14ac:dyDescent="0.25"/>
    <row r="194" ht="11.25" customHeight="1" x14ac:dyDescent="0.25"/>
    <row r="195" ht="11.25" customHeight="1" x14ac:dyDescent="0.25"/>
    <row r="196" ht="11.25" customHeight="1" x14ac:dyDescent="0.25"/>
    <row r="197" ht="11.25" customHeight="1" x14ac:dyDescent="0.25"/>
    <row r="198" ht="11.25" customHeight="1" x14ac:dyDescent="0.25"/>
    <row r="199" ht="11.25" customHeight="1" x14ac:dyDescent="0.25"/>
    <row r="200" ht="11.25" customHeight="1" x14ac:dyDescent="0.25"/>
    <row r="201" ht="11.25" customHeight="1" x14ac:dyDescent="0.25"/>
    <row r="202" ht="11.25" customHeight="1" x14ac:dyDescent="0.25"/>
    <row r="203" ht="11.25" customHeight="1" x14ac:dyDescent="0.25"/>
    <row r="204" ht="11.25" customHeight="1" x14ac:dyDescent="0.25"/>
    <row r="205" ht="11.25" customHeight="1" x14ac:dyDescent="0.25"/>
    <row r="206" ht="11.25" customHeight="1" x14ac:dyDescent="0.25"/>
    <row r="207" ht="11.25" customHeight="1" x14ac:dyDescent="0.25"/>
    <row r="208" ht="11.25" customHeight="1" x14ac:dyDescent="0.25"/>
    <row r="209" ht="11.25" customHeight="1" x14ac:dyDescent="0.25"/>
    <row r="210" ht="11.25" customHeight="1" x14ac:dyDescent="0.25"/>
    <row r="211" ht="11.25" customHeight="1" x14ac:dyDescent="0.25"/>
    <row r="212" ht="11.25" customHeight="1" x14ac:dyDescent="0.25"/>
    <row r="213" ht="11.25" customHeight="1" x14ac:dyDescent="0.25"/>
    <row r="214" ht="11.25" customHeight="1" x14ac:dyDescent="0.25"/>
    <row r="215" ht="11.25" customHeight="1" x14ac:dyDescent="0.25"/>
    <row r="216" ht="11.25" customHeight="1" x14ac:dyDescent="0.25"/>
    <row r="217" ht="11.25" customHeight="1" x14ac:dyDescent="0.25"/>
    <row r="218" ht="11.25" customHeight="1" x14ac:dyDescent="0.25"/>
    <row r="219" ht="11.25" customHeight="1" x14ac:dyDescent="0.25"/>
    <row r="220" ht="11.25" customHeight="1" x14ac:dyDescent="0.25"/>
    <row r="221" ht="11.25" customHeight="1" x14ac:dyDescent="0.25"/>
    <row r="222" ht="11.25" customHeight="1" x14ac:dyDescent="0.25"/>
    <row r="223" ht="11.25" customHeight="1" x14ac:dyDescent="0.25"/>
    <row r="224" ht="11.25" customHeight="1" x14ac:dyDescent="0.25"/>
    <row r="225" ht="11.25" customHeight="1" x14ac:dyDescent="0.25"/>
    <row r="226" ht="11.25" customHeight="1" x14ac:dyDescent="0.25"/>
    <row r="227" ht="11.25" customHeight="1" x14ac:dyDescent="0.25"/>
    <row r="228" ht="11.25" customHeight="1" x14ac:dyDescent="0.25"/>
    <row r="229" ht="11.25" customHeight="1" x14ac:dyDescent="0.25"/>
    <row r="230" ht="11.25" customHeight="1" x14ac:dyDescent="0.25"/>
    <row r="231" ht="11.25" customHeight="1" x14ac:dyDescent="0.25"/>
    <row r="232" ht="11.25" customHeight="1" x14ac:dyDescent="0.25"/>
    <row r="233" ht="11.25" customHeight="1" x14ac:dyDescent="0.25"/>
    <row r="234" ht="11.25" customHeight="1" x14ac:dyDescent="0.25"/>
    <row r="235" ht="11.25" customHeight="1" x14ac:dyDescent="0.25"/>
    <row r="236" ht="11.25" customHeight="1" x14ac:dyDescent="0.25"/>
    <row r="237" ht="11.25" customHeight="1" x14ac:dyDescent="0.25"/>
    <row r="238" ht="11.25" customHeight="1" x14ac:dyDescent="0.25"/>
    <row r="239" ht="11.25" customHeight="1" x14ac:dyDescent="0.25"/>
    <row r="240" ht="11.25" customHeight="1" x14ac:dyDescent="0.25"/>
    <row r="241" ht="11.25" customHeight="1" x14ac:dyDescent="0.25"/>
    <row r="242" ht="11.25" customHeight="1" x14ac:dyDescent="0.25"/>
    <row r="243" ht="11.25" customHeight="1" x14ac:dyDescent="0.25"/>
    <row r="244" ht="11.25" customHeight="1" x14ac:dyDescent="0.25"/>
    <row r="245" ht="11.25" customHeight="1" x14ac:dyDescent="0.25"/>
    <row r="246" ht="11.25" customHeight="1" x14ac:dyDescent="0.25"/>
    <row r="247" ht="11.25" customHeight="1" x14ac:dyDescent="0.25"/>
    <row r="248" ht="11.25" customHeight="1" x14ac:dyDescent="0.25"/>
    <row r="249" ht="11.25" customHeight="1" x14ac:dyDescent="0.25"/>
    <row r="250" ht="11.25" customHeight="1" x14ac:dyDescent="0.25"/>
    <row r="251" ht="11.25" customHeight="1" x14ac:dyDescent="0.25"/>
    <row r="252" ht="11.25" customHeight="1" x14ac:dyDescent="0.25"/>
    <row r="253" ht="11.25" customHeight="1" x14ac:dyDescent="0.25"/>
    <row r="254" ht="11.25" customHeight="1" x14ac:dyDescent="0.25"/>
    <row r="255" ht="11.25" customHeight="1" x14ac:dyDescent="0.25"/>
    <row r="256" ht="11.25" customHeight="1" x14ac:dyDescent="0.25"/>
    <row r="257" ht="11.25" customHeight="1" x14ac:dyDescent="0.25"/>
    <row r="258" ht="11.25" customHeight="1" x14ac:dyDescent="0.25"/>
    <row r="259" ht="11.25" customHeight="1" x14ac:dyDescent="0.25"/>
    <row r="260" ht="11.25" customHeight="1" x14ac:dyDescent="0.25"/>
    <row r="261" ht="11.25" customHeight="1" x14ac:dyDescent="0.25"/>
    <row r="262" ht="11.25" customHeight="1" x14ac:dyDescent="0.25"/>
    <row r="263" ht="11.25" customHeight="1" x14ac:dyDescent="0.25"/>
    <row r="264" ht="11.25" customHeight="1" x14ac:dyDescent="0.25"/>
    <row r="265" ht="11.25" customHeight="1" x14ac:dyDescent="0.25"/>
    <row r="266" ht="11.25" customHeight="1" x14ac:dyDescent="0.25"/>
    <row r="267" ht="11.25" customHeight="1" x14ac:dyDescent="0.25"/>
    <row r="268" ht="11.25" customHeight="1" x14ac:dyDescent="0.25"/>
    <row r="269" ht="11.25" customHeight="1" x14ac:dyDescent="0.25"/>
    <row r="270" ht="11.25" customHeight="1" x14ac:dyDescent="0.25"/>
    <row r="271" ht="11.25" customHeight="1" x14ac:dyDescent="0.25"/>
    <row r="272" ht="11.25" customHeight="1" x14ac:dyDescent="0.25"/>
    <row r="273" ht="11.25" customHeight="1" x14ac:dyDescent="0.25"/>
    <row r="274" ht="11.25" customHeight="1" x14ac:dyDescent="0.25"/>
    <row r="275" ht="11.25" customHeight="1" x14ac:dyDescent="0.25"/>
    <row r="276" ht="11.25" customHeight="1" x14ac:dyDescent="0.25"/>
    <row r="277" ht="11.25" customHeight="1" x14ac:dyDescent="0.25"/>
    <row r="278" ht="11.25" customHeight="1" x14ac:dyDescent="0.25"/>
    <row r="279" ht="11.25" customHeight="1" x14ac:dyDescent="0.25"/>
    <row r="280" ht="11.25" customHeight="1" x14ac:dyDescent="0.25"/>
    <row r="281" ht="11.25" customHeight="1" x14ac:dyDescent="0.25"/>
    <row r="282" ht="11.25" customHeight="1" x14ac:dyDescent="0.25"/>
    <row r="283" ht="11.25" customHeight="1" x14ac:dyDescent="0.25"/>
    <row r="284" ht="11.25" customHeight="1" x14ac:dyDescent="0.25"/>
    <row r="285" ht="11.25" customHeight="1" x14ac:dyDescent="0.25"/>
    <row r="286" ht="11.25" customHeight="1" x14ac:dyDescent="0.25"/>
    <row r="287" ht="11.25" customHeight="1" x14ac:dyDescent="0.25"/>
    <row r="288" ht="11.25" customHeight="1" x14ac:dyDescent="0.25"/>
    <row r="289" ht="11.25" customHeight="1" x14ac:dyDescent="0.25"/>
    <row r="290" ht="11.25" customHeight="1" x14ac:dyDescent="0.25"/>
    <row r="291" ht="11.25" customHeight="1" x14ac:dyDescent="0.25"/>
    <row r="292" ht="11.25" customHeight="1" x14ac:dyDescent="0.25"/>
    <row r="293" ht="11.25" customHeight="1" x14ac:dyDescent="0.25"/>
    <row r="294" ht="11.25" customHeight="1" x14ac:dyDescent="0.25"/>
    <row r="295" ht="11.25" customHeight="1" x14ac:dyDescent="0.25"/>
    <row r="296" ht="11.25" customHeight="1" x14ac:dyDescent="0.25"/>
    <row r="297" ht="11.25" customHeight="1" x14ac:dyDescent="0.25"/>
    <row r="298" ht="11.25" customHeight="1" x14ac:dyDescent="0.25"/>
    <row r="299" ht="11.25" customHeight="1" x14ac:dyDescent="0.25"/>
    <row r="300" ht="11.25" customHeight="1" x14ac:dyDescent="0.25"/>
    <row r="301" ht="11.25" customHeight="1" x14ac:dyDescent="0.25"/>
    <row r="302" ht="11.25" customHeight="1" x14ac:dyDescent="0.25"/>
    <row r="303" ht="11.25" customHeight="1" x14ac:dyDescent="0.25"/>
    <row r="304" ht="11.25" customHeight="1" x14ac:dyDescent="0.25"/>
    <row r="305" ht="11.25" customHeight="1" x14ac:dyDescent="0.25"/>
    <row r="306" ht="11.25" customHeight="1" x14ac:dyDescent="0.25"/>
    <row r="307" ht="11.25" customHeight="1" x14ac:dyDescent="0.25"/>
    <row r="308" ht="11.25" customHeight="1" x14ac:dyDescent="0.25"/>
    <row r="309" ht="11.25" customHeight="1" x14ac:dyDescent="0.25"/>
    <row r="310" ht="11.25" customHeight="1" x14ac:dyDescent="0.25"/>
    <row r="311" ht="11.25" customHeight="1" x14ac:dyDescent="0.25"/>
    <row r="312" ht="11.25" customHeight="1" x14ac:dyDescent="0.25"/>
    <row r="313" ht="11.25" customHeight="1" x14ac:dyDescent="0.25"/>
    <row r="314" ht="11.25" customHeight="1" x14ac:dyDescent="0.25"/>
    <row r="315" ht="11.25" customHeight="1" x14ac:dyDescent="0.25"/>
    <row r="316" ht="11.25" customHeight="1" x14ac:dyDescent="0.25"/>
    <row r="317" ht="11.25" customHeight="1" x14ac:dyDescent="0.25"/>
    <row r="318" ht="11.25" customHeight="1" x14ac:dyDescent="0.25"/>
    <row r="319" ht="11.25" customHeight="1" x14ac:dyDescent="0.25"/>
    <row r="320" ht="11.25" customHeight="1" x14ac:dyDescent="0.25"/>
    <row r="321" ht="11.25" customHeight="1" x14ac:dyDescent="0.25"/>
    <row r="322" ht="11.25" customHeight="1" x14ac:dyDescent="0.25"/>
    <row r="323" ht="11.25" customHeight="1" x14ac:dyDescent="0.25"/>
    <row r="324" ht="11.25" customHeight="1" x14ac:dyDescent="0.25"/>
    <row r="325" ht="11.25" customHeight="1" x14ac:dyDescent="0.25"/>
    <row r="326" ht="11.25" customHeight="1" x14ac:dyDescent="0.25"/>
    <row r="327" ht="11.25" customHeight="1" x14ac:dyDescent="0.25"/>
    <row r="328" ht="11.25" customHeight="1" x14ac:dyDescent="0.25"/>
    <row r="329" ht="11.25" customHeight="1" x14ac:dyDescent="0.25"/>
    <row r="330" ht="11.25" customHeight="1" x14ac:dyDescent="0.25"/>
    <row r="331" ht="11.25" customHeight="1" x14ac:dyDescent="0.25"/>
    <row r="332" ht="11.25" customHeight="1" x14ac:dyDescent="0.25"/>
  </sheetData>
  <mergeCells count="65">
    <mergeCell ref="P23:T24"/>
    <mergeCell ref="U23:X24"/>
    <mergeCell ref="U27:X28"/>
    <mergeCell ref="P27:T28"/>
    <mergeCell ref="A56:L56"/>
    <mergeCell ref="A48:G48"/>
    <mergeCell ref="A52:L52"/>
    <mergeCell ref="A53:L53"/>
    <mergeCell ref="A54:L54"/>
    <mergeCell ref="A55:L55"/>
    <mergeCell ref="A6:L7"/>
    <mergeCell ref="A8:L29"/>
    <mergeCell ref="O6:X7"/>
    <mergeCell ref="U33:X34"/>
    <mergeCell ref="A46:L46"/>
    <mergeCell ref="O40:O45"/>
    <mergeCell ref="A31:L35"/>
    <mergeCell ref="A38:L38"/>
    <mergeCell ref="A37:K37"/>
    <mergeCell ref="P33:T34"/>
    <mergeCell ref="P31:T32"/>
    <mergeCell ref="P35:T36"/>
    <mergeCell ref="P37:T38"/>
    <mergeCell ref="P40:T41"/>
    <mergeCell ref="P30:T30"/>
    <mergeCell ref="U30:X30"/>
    <mergeCell ref="A1:M3"/>
    <mergeCell ref="O1:Q1"/>
    <mergeCell ref="R1:T1"/>
    <mergeCell ref="U1:X1"/>
    <mergeCell ref="O2:Q3"/>
    <mergeCell ref="R2:T3"/>
    <mergeCell ref="U2:X3"/>
    <mergeCell ref="O14:R14"/>
    <mergeCell ref="S14:X14"/>
    <mergeCell ref="S48:X48"/>
    <mergeCell ref="P44:T45"/>
    <mergeCell ref="U44:X45"/>
    <mergeCell ref="O23:O38"/>
    <mergeCell ref="P29:T29"/>
    <mergeCell ref="U29:X29"/>
    <mergeCell ref="P42:T43"/>
    <mergeCell ref="U40:X41"/>
    <mergeCell ref="U42:X43"/>
    <mergeCell ref="U31:X32"/>
    <mergeCell ref="U35:X36"/>
    <mergeCell ref="U37:X38"/>
    <mergeCell ref="P25:T26"/>
    <mergeCell ref="U25:X26"/>
    <mergeCell ref="O16:R16"/>
    <mergeCell ref="S16:X16"/>
    <mergeCell ref="O17:X20"/>
    <mergeCell ref="O8:R9"/>
    <mergeCell ref="O10:R11"/>
    <mergeCell ref="S8:U8"/>
    <mergeCell ref="V8:X8"/>
    <mergeCell ref="S9:U9"/>
    <mergeCell ref="V9:X9"/>
    <mergeCell ref="S10:X11"/>
    <mergeCell ref="O12:R12"/>
    <mergeCell ref="S12:X12"/>
    <mergeCell ref="O13:R13"/>
    <mergeCell ref="S13:X13"/>
    <mergeCell ref="O15:R15"/>
    <mergeCell ref="S15:X15"/>
  </mergeCells>
  <dataValidations count="4">
    <dataValidation type="list" allowBlank="1" showInputMessage="1" showErrorMessage="1" sqref="S13:X13" xr:uid="{00000000-0002-0000-0300-000000000000}">
      <formula1>"New Fabrication, Modification,Disassembly"</formula1>
    </dataValidation>
    <dataValidation type="list" allowBlank="1" showInputMessage="1" showErrorMessage="1" sqref="S14:X14" xr:uid="{00000000-0002-0000-0300-000001000000}">
      <formula1>"PE fabrication area, Section area"</formula1>
    </dataValidation>
    <dataValidation type="list" allowBlank="1" showInputMessage="1" showErrorMessage="1" sqref="S15:X15" xr:uid="{00000000-0002-0000-0300-000002000000}">
      <formula1>"Normal working hours,Can work even with production,Offset break,No production"</formula1>
    </dataValidation>
    <dataValidation type="list" allowBlank="1" showInputMessage="1" showErrorMessage="1" sqref="S9:X9" xr:uid="{00000000-0002-0000-0300-000003000000}">
      <formula1>"/"</formula1>
    </dataValidation>
  </dataValidations>
  <pageMargins left="0.12" right="0.12" top="0.15" bottom="0.15" header="0" footer="0"/>
  <pageSetup paperSize="9" orientation="landscape" horizontalDpi="200" verticalDpi="2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  <pageSetUpPr fitToPage="1"/>
  </sheetPr>
  <dimension ref="B2:J32"/>
  <sheetViews>
    <sheetView topLeftCell="A22" zoomScale="95" zoomScaleNormal="95" workbookViewId="0">
      <selection activeCell="K16" sqref="K16"/>
    </sheetView>
  </sheetViews>
  <sheetFormatPr defaultColWidth="9.140625" defaultRowHeight="12.75" x14ac:dyDescent="0.2"/>
  <cols>
    <col min="1" max="1" width="4.5703125" style="3" customWidth="1"/>
    <col min="2" max="2" width="13.7109375" style="89" customWidth="1"/>
    <col min="3" max="3" width="17.42578125" style="89" customWidth="1"/>
    <col min="4" max="4" width="2.7109375" style="3" customWidth="1"/>
    <col min="5" max="5" width="39.5703125" style="3" customWidth="1"/>
    <col min="6" max="6" width="4" style="3" customWidth="1"/>
    <col min="7" max="7" width="15.42578125" style="3" customWidth="1"/>
    <col min="8" max="8" width="15.28515625" style="89" customWidth="1"/>
    <col min="9" max="9" width="17.7109375" style="89" customWidth="1"/>
    <col min="10" max="10" width="15" style="3" customWidth="1"/>
    <col min="11" max="16384" width="9.140625" style="3"/>
  </cols>
  <sheetData>
    <row r="2" spans="2:10" ht="28.9" customHeight="1" x14ac:dyDescent="0.2">
      <c r="B2" s="350" t="s">
        <v>0</v>
      </c>
      <c r="C2" s="350"/>
      <c r="D2" s="350"/>
      <c r="E2" s="350"/>
      <c r="F2" s="4"/>
      <c r="G2" s="5" t="s">
        <v>1</v>
      </c>
      <c r="H2" s="5" t="s">
        <v>2</v>
      </c>
      <c r="I2" s="5" t="s">
        <v>3</v>
      </c>
    </row>
    <row r="3" spans="2:10" ht="37.15" customHeight="1" x14ac:dyDescent="0.2">
      <c r="B3" s="350"/>
      <c r="C3" s="350"/>
      <c r="D3" s="350"/>
      <c r="E3" s="350"/>
      <c r="F3" s="4"/>
      <c r="G3" s="5"/>
      <c r="H3" s="5"/>
      <c r="I3" s="5"/>
    </row>
    <row r="4" spans="2:10" ht="8.4499999999999993" customHeight="1" x14ac:dyDescent="0.2"/>
    <row r="5" spans="2:10" ht="18.75" customHeight="1" x14ac:dyDescent="0.2"/>
    <row r="6" spans="2:10" ht="9.6" customHeight="1" x14ac:dyDescent="0.2"/>
    <row r="7" spans="2:10" ht="30" customHeight="1" x14ac:dyDescent="0.2">
      <c r="B7" s="351" t="s">
        <v>4</v>
      </c>
      <c r="C7" s="352"/>
      <c r="D7" s="352"/>
      <c r="E7" s="352"/>
      <c r="F7" s="352"/>
      <c r="G7" s="352"/>
      <c r="H7" s="352"/>
      <c r="I7" s="353"/>
      <c r="J7" s="6"/>
    </row>
    <row r="8" spans="2:10" s="87" customFormat="1" ht="39.75" customHeight="1" x14ac:dyDescent="0.25">
      <c r="B8" s="351" t="s">
        <v>5</v>
      </c>
      <c r="C8" s="354"/>
      <c r="D8" s="93"/>
      <c r="E8" s="355" t="s">
        <v>6</v>
      </c>
      <c r="F8" s="356"/>
      <c r="G8" s="356"/>
      <c r="H8" s="92" t="s">
        <v>7</v>
      </c>
      <c r="I8" s="94" t="s">
        <v>8</v>
      </c>
    </row>
    <row r="9" spans="2:10" s="87" customFormat="1" ht="17.25" customHeight="1" x14ac:dyDescent="0.25">
      <c r="B9" s="95"/>
      <c r="E9" s="357"/>
      <c r="F9" s="358"/>
      <c r="G9" s="359"/>
      <c r="H9" s="96"/>
      <c r="I9" s="7"/>
    </row>
    <row r="10" spans="2:10" ht="12.75" customHeight="1" x14ac:dyDescent="0.2">
      <c r="B10" s="363"/>
      <c r="C10" s="361"/>
      <c r="E10" s="360"/>
      <c r="F10" s="361"/>
      <c r="G10" s="362"/>
      <c r="H10" s="85"/>
      <c r="I10" s="86"/>
    </row>
    <row r="11" spans="2:10" ht="12.75" customHeight="1" x14ac:dyDescent="0.2">
      <c r="B11" s="88"/>
      <c r="E11" s="360"/>
      <c r="F11" s="361"/>
      <c r="G11" s="362"/>
      <c r="H11" s="8"/>
      <c r="I11" s="9"/>
    </row>
    <row r="12" spans="2:10" ht="52.5" customHeight="1" x14ac:dyDescent="0.2">
      <c r="B12" s="348"/>
      <c r="C12" s="349"/>
      <c r="E12" s="364" t="s">
        <v>181</v>
      </c>
      <c r="F12" s="365"/>
      <c r="G12" s="366"/>
      <c r="H12" s="85" t="s">
        <v>9</v>
      </c>
      <c r="I12" s="86"/>
    </row>
    <row r="13" spans="2:10" ht="7.5" customHeight="1" x14ac:dyDescent="0.2">
      <c r="B13" s="88"/>
      <c r="E13" s="364"/>
      <c r="F13" s="365"/>
      <c r="G13" s="366"/>
      <c r="H13" s="96"/>
      <c r="I13" s="9"/>
    </row>
    <row r="14" spans="2:10" ht="108" customHeight="1" x14ac:dyDescent="0.2">
      <c r="B14" s="88"/>
      <c r="C14" s="90" t="s">
        <v>10</v>
      </c>
      <c r="E14" s="364" t="s">
        <v>182</v>
      </c>
      <c r="F14" s="365"/>
      <c r="G14" s="366"/>
      <c r="H14" s="342" t="s">
        <v>11</v>
      </c>
      <c r="I14" s="343" t="s">
        <v>12</v>
      </c>
    </row>
    <row r="15" spans="2:10" ht="6" customHeight="1" x14ac:dyDescent="0.2">
      <c r="B15" s="88"/>
      <c r="E15" s="344" t="s">
        <v>13</v>
      </c>
      <c r="F15" s="345"/>
      <c r="G15" s="346"/>
      <c r="H15" s="342"/>
      <c r="I15" s="343"/>
    </row>
    <row r="16" spans="2:10" ht="81.75" customHeight="1" x14ac:dyDescent="0.2">
      <c r="B16" s="348"/>
      <c r="C16" s="349"/>
      <c r="E16" s="347"/>
      <c r="F16" s="345"/>
      <c r="G16" s="346"/>
      <c r="H16" s="342"/>
      <c r="I16" s="343"/>
    </row>
    <row r="17" spans="2:9" ht="117.6" customHeight="1" x14ac:dyDescent="0.2">
      <c r="B17" s="363"/>
      <c r="C17" s="361"/>
      <c r="E17" s="364" t="s">
        <v>201</v>
      </c>
      <c r="F17" s="367"/>
      <c r="G17" s="368"/>
      <c r="H17" s="97" t="s">
        <v>202</v>
      </c>
      <c r="I17" s="86" t="s">
        <v>15</v>
      </c>
    </row>
    <row r="18" spans="2:9" ht="72.75" customHeight="1" x14ac:dyDescent="0.2">
      <c r="B18" s="363"/>
      <c r="C18" s="361"/>
      <c r="E18" s="364" t="s">
        <v>16</v>
      </c>
      <c r="F18" s="365"/>
      <c r="G18" s="366"/>
      <c r="H18" s="91" t="s">
        <v>17</v>
      </c>
      <c r="I18" s="86"/>
    </row>
    <row r="19" spans="2:9" ht="15" customHeight="1" x14ac:dyDescent="0.2">
      <c r="B19" s="88"/>
      <c r="E19" s="369"/>
      <c r="F19" s="370"/>
      <c r="G19" s="371"/>
      <c r="I19" s="9"/>
    </row>
    <row r="20" spans="2:9" ht="65.25" customHeight="1" x14ac:dyDescent="0.2">
      <c r="B20" s="363"/>
      <c r="C20" s="361"/>
      <c r="E20" s="364" t="s">
        <v>18</v>
      </c>
      <c r="F20" s="365"/>
      <c r="G20" s="366"/>
      <c r="H20" s="91" t="s">
        <v>14</v>
      </c>
      <c r="I20" s="86"/>
    </row>
    <row r="21" spans="2:9" ht="16.5" customHeight="1" x14ac:dyDescent="0.2">
      <c r="B21" s="88"/>
      <c r="E21" s="369"/>
      <c r="F21" s="370"/>
      <c r="G21" s="371"/>
      <c r="I21" s="9"/>
    </row>
    <row r="22" spans="2:9" ht="69.75" customHeight="1" x14ac:dyDescent="0.2">
      <c r="B22" s="375"/>
      <c r="C22" s="376"/>
      <c r="E22" s="364" t="s">
        <v>19</v>
      </c>
      <c r="F22" s="365"/>
      <c r="G22" s="366"/>
      <c r="H22" s="91" t="s">
        <v>9</v>
      </c>
      <c r="I22" s="86"/>
    </row>
    <row r="23" spans="2:9" ht="17.25" customHeight="1" x14ac:dyDescent="0.2">
      <c r="B23" s="88"/>
      <c r="E23" s="369"/>
      <c r="F23" s="370"/>
      <c r="G23" s="371"/>
      <c r="H23" s="91"/>
      <c r="I23" s="9"/>
    </row>
    <row r="24" spans="2:9" ht="13.5" customHeight="1" x14ac:dyDescent="0.2">
      <c r="B24" s="10"/>
      <c r="C24" s="11"/>
      <c r="E24" s="369"/>
      <c r="F24" s="370"/>
      <c r="G24" s="371"/>
      <c r="H24" s="91"/>
      <c r="I24" s="86"/>
    </row>
    <row r="25" spans="2:9" ht="14.25" customHeight="1" x14ac:dyDescent="0.2">
      <c r="B25" s="10"/>
      <c r="C25" s="11"/>
      <c r="E25" s="364" t="s">
        <v>20</v>
      </c>
      <c r="F25" s="365"/>
      <c r="G25" s="366"/>
      <c r="H25" s="91"/>
      <c r="I25" s="86"/>
    </row>
    <row r="26" spans="2:9" ht="54.75" customHeight="1" x14ac:dyDescent="0.2">
      <c r="B26" s="363"/>
      <c r="C26" s="377"/>
      <c r="E26" s="364"/>
      <c r="F26" s="365"/>
      <c r="G26" s="366"/>
      <c r="H26" s="372" t="s">
        <v>9</v>
      </c>
      <c r="I26" s="373" t="s">
        <v>15</v>
      </c>
    </row>
    <row r="27" spans="2:9" ht="45.75" customHeight="1" x14ac:dyDescent="0.2">
      <c r="B27" s="363"/>
      <c r="C27" s="377"/>
      <c r="E27" s="364"/>
      <c r="F27" s="365"/>
      <c r="G27" s="366"/>
      <c r="H27" s="372"/>
      <c r="I27" s="373"/>
    </row>
    <row r="28" spans="2:9" ht="15" customHeight="1" x14ac:dyDescent="0.2">
      <c r="B28" s="10"/>
      <c r="C28" s="11"/>
      <c r="E28" s="364"/>
      <c r="F28" s="367"/>
      <c r="G28" s="368"/>
      <c r="H28" s="91"/>
      <c r="I28" s="86"/>
    </row>
    <row r="29" spans="2:9" ht="27" customHeight="1" x14ac:dyDescent="0.2">
      <c r="B29" s="363"/>
      <c r="C29" s="361"/>
      <c r="E29" s="374"/>
      <c r="F29" s="367"/>
      <c r="G29" s="368"/>
      <c r="H29" s="91"/>
      <c r="I29" s="86"/>
    </row>
    <row r="30" spans="2:9" ht="7.5" customHeight="1" x14ac:dyDescent="0.2">
      <c r="B30" s="10"/>
      <c r="C30" s="11"/>
      <c r="D30" s="12"/>
      <c r="E30" s="13"/>
      <c r="F30" s="14"/>
      <c r="G30" s="15"/>
      <c r="H30" s="86"/>
      <c r="I30" s="86"/>
    </row>
    <row r="31" spans="2:9" ht="7.5" customHeight="1" x14ac:dyDescent="0.2">
      <c r="B31" s="10"/>
      <c r="C31" s="11"/>
      <c r="D31" s="12"/>
      <c r="E31" s="13"/>
      <c r="F31" s="14"/>
      <c r="G31" s="15"/>
      <c r="H31" s="86"/>
      <c r="I31" s="86"/>
    </row>
    <row r="32" spans="2:9" ht="7.5" customHeight="1" x14ac:dyDescent="0.2">
      <c r="B32" s="16"/>
      <c r="C32" s="17"/>
      <c r="D32" s="18"/>
      <c r="E32" s="19"/>
      <c r="F32" s="20"/>
      <c r="G32" s="18"/>
      <c r="H32" s="21"/>
      <c r="I32" s="21"/>
    </row>
  </sheetData>
  <mergeCells count="30">
    <mergeCell ref="H26:H27"/>
    <mergeCell ref="I26:I27"/>
    <mergeCell ref="E28:G29"/>
    <mergeCell ref="B29:C29"/>
    <mergeCell ref="E21:G21"/>
    <mergeCell ref="B22:C22"/>
    <mergeCell ref="E22:G22"/>
    <mergeCell ref="E23:G24"/>
    <mergeCell ref="E25:G27"/>
    <mergeCell ref="B26:C27"/>
    <mergeCell ref="B20:C20"/>
    <mergeCell ref="E20:G20"/>
    <mergeCell ref="B12:C12"/>
    <mergeCell ref="E12:G13"/>
    <mergeCell ref="E14:G14"/>
    <mergeCell ref="B17:C17"/>
    <mergeCell ref="E17:G17"/>
    <mergeCell ref="B18:C18"/>
    <mergeCell ref="E18:G18"/>
    <mergeCell ref="E19:G19"/>
    <mergeCell ref="H14:H16"/>
    <mergeCell ref="I14:I16"/>
    <mergeCell ref="E15:G16"/>
    <mergeCell ref="B16:C16"/>
    <mergeCell ref="B2:E3"/>
    <mergeCell ref="B7:I7"/>
    <mergeCell ref="B8:C8"/>
    <mergeCell ref="E8:G8"/>
    <mergeCell ref="E9:G11"/>
    <mergeCell ref="B10:C10"/>
  </mergeCells>
  <pageMargins left="0.2" right="0.2" top="0.25" bottom="0.25" header="0" footer="0"/>
  <pageSetup paperSize="9" scale="67" orientation="portrait" horizontalDpi="200" verticalDpi="2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C2:AQ131"/>
  <sheetViews>
    <sheetView topLeftCell="L73" zoomScale="60" zoomScaleNormal="60" workbookViewId="0">
      <selection activeCell="D122" sqref="D122:E124"/>
    </sheetView>
  </sheetViews>
  <sheetFormatPr defaultRowHeight="15" x14ac:dyDescent="0.25"/>
  <cols>
    <col min="2" max="2" width="3.42578125" customWidth="1"/>
    <col min="3" max="3" width="4.85546875" style="22" customWidth="1"/>
    <col min="4" max="5" width="12.7109375" style="22" customWidth="1"/>
    <col min="6" max="6" width="10.28515625" style="22" customWidth="1"/>
    <col min="7" max="7" width="8.5703125" style="22" customWidth="1"/>
    <col min="8" max="12" width="9.140625" style="22"/>
    <col min="13" max="13" width="5.42578125" style="22" customWidth="1"/>
    <col min="14" max="15" width="13" style="22" customWidth="1"/>
    <col min="16" max="17" width="10.5703125" style="22" customWidth="1"/>
    <col min="18" max="22" width="9.140625" style="22"/>
    <col min="23" max="23" width="4.7109375" style="22" customWidth="1"/>
    <col min="24" max="24" width="13.7109375" style="22" customWidth="1"/>
    <col min="25" max="25" width="10.5703125" style="22" customWidth="1"/>
    <col min="26" max="26" width="9.42578125" style="22" customWidth="1"/>
    <col min="27" max="27" width="9.5703125" style="22" customWidth="1"/>
    <col min="28" max="32" width="9.140625" style="22"/>
    <col min="33" max="33" width="4" style="22" customWidth="1"/>
    <col min="34" max="35" width="9.140625" style="22"/>
    <col min="36" max="37" width="12" style="22" customWidth="1"/>
    <col min="38" max="41" width="9.140625" style="22"/>
    <col min="42" max="42" width="10.28515625" style="22" customWidth="1"/>
    <col min="43" max="43" width="9.140625" style="22"/>
  </cols>
  <sheetData>
    <row r="2" spans="3:43" x14ac:dyDescent="0.25">
      <c r="D2" s="678" t="s">
        <v>247</v>
      </c>
      <c r="E2" s="678"/>
      <c r="F2" s="678"/>
      <c r="G2" s="678"/>
      <c r="H2" s="678"/>
      <c r="I2" s="678"/>
      <c r="J2" s="678"/>
      <c r="K2" s="678"/>
      <c r="L2" s="678"/>
      <c r="M2" s="678"/>
      <c r="N2" s="678"/>
      <c r="O2" s="678"/>
      <c r="P2" s="678"/>
      <c r="Q2" s="678"/>
      <c r="R2" s="678"/>
      <c r="S2" s="678"/>
      <c r="T2" s="678"/>
      <c r="U2" s="678"/>
      <c r="V2" s="678"/>
      <c r="W2" s="678"/>
      <c r="X2" s="678"/>
      <c r="Y2" s="678"/>
      <c r="Z2" s="678"/>
      <c r="AA2" s="678"/>
      <c r="AB2" s="678"/>
      <c r="AC2" s="678"/>
      <c r="AD2" s="678"/>
      <c r="AE2" s="678"/>
      <c r="AF2" s="678"/>
      <c r="AG2" s="678"/>
      <c r="AH2" s="678"/>
      <c r="AI2" s="678"/>
      <c r="AJ2" s="678"/>
      <c r="AK2" s="678"/>
      <c r="AL2" s="678"/>
      <c r="AM2" s="678"/>
      <c r="AN2" s="678"/>
      <c r="AO2" s="678"/>
      <c r="AP2" s="678"/>
    </row>
    <row r="3" spans="3:43" ht="62.25" customHeight="1" thickBot="1" x14ac:dyDescent="0.3">
      <c r="D3" s="678"/>
      <c r="E3" s="678"/>
      <c r="F3" s="678"/>
      <c r="G3" s="678"/>
      <c r="H3" s="678"/>
      <c r="I3" s="678"/>
      <c r="J3" s="678"/>
      <c r="K3" s="678"/>
      <c r="L3" s="678"/>
      <c r="M3" s="678"/>
      <c r="N3" s="678"/>
      <c r="O3" s="678"/>
      <c r="P3" s="678"/>
      <c r="Q3" s="678"/>
      <c r="R3" s="678"/>
      <c r="S3" s="678"/>
      <c r="T3" s="678"/>
      <c r="U3" s="678"/>
      <c r="V3" s="678"/>
      <c r="W3" s="678"/>
      <c r="X3" s="678"/>
      <c r="Y3" s="678"/>
      <c r="Z3" s="678"/>
      <c r="AA3" s="678"/>
      <c r="AB3" s="678"/>
      <c r="AC3" s="678"/>
      <c r="AD3" s="678"/>
      <c r="AE3" s="678"/>
      <c r="AF3" s="678"/>
      <c r="AG3" s="678"/>
      <c r="AH3" s="678"/>
      <c r="AI3" s="678"/>
      <c r="AJ3" s="678"/>
      <c r="AK3" s="678"/>
      <c r="AL3" s="678"/>
      <c r="AM3" s="678"/>
      <c r="AN3" s="678"/>
      <c r="AO3" s="678"/>
      <c r="AP3" s="678"/>
    </row>
    <row r="4" spans="3:43" ht="27.75" thickBot="1" x14ac:dyDescent="0.3">
      <c r="D4" s="235" t="s">
        <v>113</v>
      </c>
      <c r="E4" s="236"/>
      <c r="F4" s="236"/>
      <c r="G4" s="236"/>
      <c r="H4" s="236"/>
      <c r="I4" s="236"/>
      <c r="J4" s="236"/>
      <c r="K4" s="236"/>
      <c r="L4" s="237"/>
      <c r="M4" s="33"/>
      <c r="N4" s="235" t="s">
        <v>113</v>
      </c>
      <c r="O4" s="236"/>
      <c r="P4" s="236"/>
      <c r="Q4" s="236"/>
      <c r="R4" s="236"/>
      <c r="S4" s="236"/>
      <c r="T4" s="236"/>
      <c r="U4" s="236"/>
      <c r="V4" s="237"/>
      <c r="W4" s="33"/>
      <c r="X4" s="235" t="s">
        <v>113</v>
      </c>
      <c r="Y4" s="236"/>
      <c r="Z4" s="236"/>
      <c r="AA4" s="236"/>
      <c r="AB4" s="236"/>
      <c r="AC4" s="236"/>
      <c r="AD4" s="236"/>
      <c r="AE4" s="236"/>
      <c r="AF4" s="237"/>
      <c r="AG4" s="33"/>
      <c r="AH4" s="235"/>
      <c r="AI4" s="236"/>
      <c r="AJ4" s="236"/>
      <c r="AK4" s="236"/>
      <c r="AL4" s="236"/>
      <c r="AM4" s="236"/>
      <c r="AN4" s="236"/>
      <c r="AO4" s="236"/>
      <c r="AP4" s="237"/>
    </row>
    <row r="5" spans="3:43" ht="16.5" thickBot="1" x14ac:dyDescent="0.3">
      <c r="D5" s="234" t="s">
        <v>58</v>
      </c>
      <c r="E5" s="234"/>
      <c r="F5" s="234"/>
      <c r="G5" s="234"/>
      <c r="H5" s="234"/>
      <c r="I5" s="234"/>
      <c r="J5" s="234"/>
      <c r="K5" s="234"/>
      <c r="L5" s="234"/>
      <c r="N5" s="234" t="s">
        <v>59</v>
      </c>
      <c r="O5" s="234"/>
      <c r="P5" s="234"/>
      <c r="Q5" s="234"/>
      <c r="R5" s="234"/>
      <c r="S5" s="234"/>
      <c r="T5" s="234"/>
      <c r="U5" s="234"/>
      <c r="V5" s="234"/>
      <c r="X5" s="234" t="s">
        <v>60</v>
      </c>
      <c r="Y5" s="234"/>
      <c r="Z5" s="234"/>
      <c r="AA5" s="234"/>
      <c r="AB5" s="234"/>
      <c r="AC5" s="234"/>
      <c r="AD5" s="234"/>
      <c r="AE5" s="234"/>
      <c r="AF5" s="234"/>
      <c r="AH5" s="234"/>
      <c r="AI5" s="234"/>
      <c r="AJ5" s="234"/>
      <c r="AK5" s="234"/>
      <c r="AL5" s="234"/>
      <c r="AM5" s="234"/>
      <c r="AN5" s="234"/>
      <c r="AO5" s="234"/>
      <c r="AP5" s="234"/>
    </row>
    <row r="6" spans="3:43" ht="21" thickBot="1" x14ac:dyDescent="0.3">
      <c r="C6" s="24"/>
      <c r="D6" s="222" t="s">
        <v>62</v>
      </c>
      <c r="E6" s="223"/>
      <c r="F6" s="223"/>
      <c r="G6" s="223"/>
      <c r="H6" s="223"/>
      <c r="I6" s="223"/>
      <c r="J6" s="223"/>
      <c r="K6" s="223"/>
      <c r="L6" s="224"/>
      <c r="M6" s="24"/>
      <c r="N6" s="222" t="s">
        <v>63</v>
      </c>
      <c r="O6" s="223"/>
      <c r="P6" s="223"/>
      <c r="Q6" s="223"/>
      <c r="R6" s="223"/>
      <c r="S6" s="223"/>
      <c r="T6" s="223"/>
      <c r="U6" s="223"/>
      <c r="V6" s="224"/>
      <c r="W6" s="24"/>
      <c r="X6" s="222" t="s">
        <v>64</v>
      </c>
      <c r="Y6" s="223"/>
      <c r="Z6" s="223"/>
      <c r="AA6" s="223"/>
      <c r="AB6" s="223"/>
      <c r="AC6" s="223"/>
      <c r="AD6" s="223"/>
      <c r="AE6" s="223"/>
      <c r="AF6" s="224"/>
      <c r="AG6" s="24"/>
      <c r="AH6" s="222"/>
      <c r="AI6" s="223"/>
      <c r="AJ6" s="223"/>
      <c r="AK6" s="223"/>
      <c r="AL6" s="223"/>
      <c r="AM6" s="223"/>
      <c r="AN6" s="223"/>
      <c r="AO6" s="223"/>
      <c r="AP6" s="224"/>
      <c r="AQ6" s="24"/>
    </row>
    <row r="7" spans="3:43" x14ac:dyDescent="0.25">
      <c r="D7" s="34"/>
      <c r="E7" s="35"/>
      <c r="F7" s="35"/>
      <c r="G7" s="35"/>
      <c r="H7" s="35"/>
      <c r="I7" s="35"/>
      <c r="J7" s="35"/>
      <c r="K7" s="35"/>
      <c r="L7" s="36"/>
      <c r="N7" s="34"/>
      <c r="O7" s="35"/>
      <c r="P7" s="35"/>
      <c r="Q7" s="35"/>
      <c r="R7" s="35"/>
      <c r="S7" s="35"/>
      <c r="T7" s="35"/>
      <c r="U7" s="35"/>
      <c r="V7" s="36"/>
      <c r="X7" s="34"/>
      <c r="Y7" s="35"/>
      <c r="Z7" s="35"/>
      <c r="AA7" s="35"/>
      <c r="AB7" s="35"/>
      <c r="AC7" s="35"/>
      <c r="AD7" s="35"/>
      <c r="AE7" s="35"/>
      <c r="AF7" s="36"/>
      <c r="AH7" s="34"/>
      <c r="AI7" s="35"/>
      <c r="AJ7" s="35"/>
      <c r="AK7" s="35"/>
      <c r="AL7" s="35"/>
      <c r="AM7" s="35"/>
      <c r="AN7" s="35"/>
      <c r="AO7" s="35"/>
      <c r="AP7" s="36"/>
    </row>
    <row r="8" spans="3:43" x14ac:dyDescent="0.25">
      <c r="D8" s="37"/>
      <c r="E8" s="38"/>
      <c r="F8" s="38"/>
      <c r="G8" s="38"/>
      <c r="H8" s="38"/>
      <c r="I8" s="38"/>
      <c r="J8" s="38"/>
      <c r="K8" s="38"/>
      <c r="L8" s="39"/>
      <c r="N8" s="37"/>
      <c r="O8" s="38"/>
      <c r="P8" s="38"/>
      <c r="Q8" s="38"/>
      <c r="R8" s="38"/>
      <c r="S8" s="38"/>
      <c r="T8" s="38"/>
      <c r="U8" s="38"/>
      <c r="V8" s="39"/>
      <c r="X8" s="37"/>
      <c r="Y8" s="38"/>
      <c r="Z8" s="38"/>
      <c r="AA8" s="38"/>
      <c r="AB8" s="38"/>
      <c r="AC8" s="38"/>
      <c r="AD8" s="38"/>
      <c r="AE8" s="38"/>
      <c r="AF8" s="39"/>
      <c r="AH8" s="37"/>
      <c r="AI8" s="38"/>
      <c r="AJ8" s="38"/>
      <c r="AK8" s="38"/>
      <c r="AL8" s="38"/>
      <c r="AM8" s="38"/>
      <c r="AN8" s="38"/>
      <c r="AO8" s="38"/>
      <c r="AP8" s="39"/>
    </row>
    <row r="9" spans="3:43" x14ac:dyDescent="0.25">
      <c r="D9" s="37"/>
      <c r="E9" s="38"/>
      <c r="F9" s="38"/>
      <c r="G9" s="38"/>
      <c r="H9" s="38"/>
      <c r="I9" s="38"/>
      <c r="J9" s="38"/>
      <c r="K9" s="38"/>
      <c r="L9" s="39"/>
      <c r="N9" s="37"/>
      <c r="O9" s="38"/>
      <c r="P9" s="38"/>
      <c r="Q9" s="38"/>
      <c r="R9" s="38"/>
      <c r="S9" s="38"/>
      <c r="T9" s="38"/>
      <c r="U9" s="38"/>
      <c r="V9" s="39"/>
      <c r="X9" s="37"/>
      <c r="Y9" s="38"/>
      <c r="Z9" s="38"/>
      <c r="AA9" s="38"/>
      <c r="AB9" s="38"/>
      <c r="AC9" s="38"/>
      <c r="AD9" s="38"/>
      <c r="AE9" s="38"/>
      <c r="AF9" s="39"/>
      <c r="AH9" s="37"/>
      <c r="AI9" s="38"/>
      <c r="AJ9" s="38"/>
      <c r="AK9" s="38"/>
      <c r="AL9" s="38"/>
      <c r="AM9" s="38"/>
      <c r="AN9" s="38"/>
      <c r="AO9" s="38"/>
      <c r="AP9" s="39"/>
    </row>
    <row r="10" spans="3:43" x14ac:dyDescent="0.25">
      <c r="D10" s="37"/>
      <c r="E10" s="38"/>
      <c r="F10" s="38"/>
      <c r="G10" s="38"/>
      <c r="H10" s="38"/>
      <c r="I10" s="38"/>
      <c r="J10" s="38"/>
      <c r="K10" s="38"/>
      <c r="L10" s="39"/>
      <c r="N10" s="37"/>
      <c r="O10" s="38"/>
      <c r="P10" s="38"/>
      <c r="Q10" s="38"/>
      <c r="R10" s="38"/>
      <c r="S10" s="38"/>
      <c r="T10" s="38"/>
      <c r="U10" s="38"/>
      <c r="V10" s="39"/>
      <c r="X10" s="37"/>
      <c r="Y10" s="38"/>
      <c r="Z10" s="38"/>
      <c r="AA10" s="38"/>
      <c r="AB10" s="38"/>
      <c r="AC10" s="38"/>
      <c r="AD10" s="38"/>
      <c r="AE10" s="38"/>
      <c r="AF10" s="39"/>
      <c r="AH10" s="37"/>
      <c r="AI10" s="38"/>
      <c r="AJ10" s="38"/>
      <c r="AK10" s="38"/>
      <c r="AL10" s="38"/>
      <c r="AM10" s="38"/>
      <c r="AN10" s="38"/>
      <c r="AO10" s="38"/>
      <c r="AP10" s="39"/>
    </row>
    <row r="11" spans="3:43" x14ac:dyDescent="0.25">
      <c r="D11" s="37"/>
      <c r="E11" s="38"/>
      <c r="F11" s="38"/>
      <c r="G11" s="38"/>
      <c r="H11" s="38"/>
      <c r="I11" s="38"/>
      <c r="J11" s="38"/>
      <c r="K11" s="38"/>
      <c r="L11" s="39"/>
      <c r="N11" s="37"/>
      <c r="O11" s="38"/>
      <c r="P11" s="38"/>
      <c r="Q11" s="38"/>
      <c r="R11" s="38"/>
      <c r="S11" s="38"/>
      <c r="T11" s="38"/>
      <c r="U11" s="38"/>
      <c r="V11" s="39"/>
      <c r="X11" s="37"/>
      <c r="Y11" s="38"/>
      <c r="Z11" s="38"/>
      <c r="AA11" s="38"/>
      <c r="AB11" s="38"/>
      <c r="AC11" s="38"/>
      <c r="AD11" s="38"/>
      <c r="AE11" s="38"/>
      <c r="AF11" s="39"/>
      <c r="AH11" s="37"/>
      <c r="AI11" s="38"/>
      <c r="AJ11" s="38"/>
      <c r="AK11" s="38"/>
      <c r="AL11" s="38"/>
      <c r="AM11" s="38"/>
      <c r="AN11" s="38"/>
      <c r="AO11" s="38"/>
      <c r="AP11" s="39"/>
    </row>
    <row r="12" spans="3:43" x14ac:dyDescent="0.25">
      <c r="D12" s="37"/>
      <c r="E12" s="38"/>
      <c r="F12" s="38"/>
      <c r="G12" s="38"/>
      <c r="H12" s="38"/>
      <c r="I12" s="38"/>
      <c r="J12" s="38"/>
      <c r="K12" s="38"/>
      <c r="L12" s="39"/>
      <c r="N12" s="37"/>
      <c r="O12" s="38"/>
      <c r="P12" s="38"/>
      <c r="Q12" s="38"/>
      <c r="R12" s="38"/>
      <c r="S12" s="38"/>
      <c r="T12" s="38"/>
      <c r="U12" s="38"/>
      <c r="V12" s="39"/>
      <c r="X12" s="37"/>
      <c r="Y12" s="38"/>
      <c r="Z12" s="38"/>
      <c r="AA12" s="38"/>
      <c r="AB12" s="38"/>
      <c r="AC12" s="38"/>
      <c r="AD12" s="38"/>
      <c r="AE12" s="38"/>
      <c r="AF12" s="39"/>
      <c r="AH12" s="37"/>
      <c r="AI12" s="38"/>
      <c r="AJ12" s="38"/>
      <c r="AK12" s="38"/>
      <c r="AL12" s="38"/>
      <c r="AM12" s="38"/>
      <c r="AN12" s="38"/>
      <c r="AO12" s="38"/>
      <c r="AP12" s="39"/>
    </row>
    <row r="13" spans="3:43" x14ac:dyDescent="0.25">
      <c r="D13" s="37"/>
      <c r="E13" s="38"/>
      <c r="F13" s="38"/>
      <c r="G13" s="38"/>
      <c r="H13" s="38"/>
      <c r="I13" s="38"/>
      <c r="J13" s="38"/>
      <c r="K13" s="38"/>
      <c r="L13" s="39"/>
      <c r="N13" s="37"/>
      <c r="O13" s="38"/>
      <c r="P13" s="38"/>
      <c r="Q13" s="38"/>
      <c r="R13" s="38"/>
      <c r="S13" s="38"/>
      <c r="T13" s="38"/>
      <c r="U13" s="38"/>
      <c r="V13" s="39"/>
      <c r="X13" s="37"/>
      <c r="Y13" s="38"/>
      <c r="Z13" s="38"/>
      <c r="AA13" s="38"/>
      <c r="AB13" s="38"/>
      <c r="AC13" s="38"/>
      <c r="AD13" s="38"/>
      <c r="AE13" s="38"/>
      <c r="AF13" s="39"/>
      <c r="AH13" s="37"/>
      <c r="AI13" s="38"/>
      <c r="AJ13" s="38"/>
      <c r="AK13" s="38"/>
      <c r="AL13" s="38"/>
      <c r="AM13" s="38"/>
      <c r="AN13" s="38"/>
      <c r="AO13" s="38"/>
      <c r="AP13" s="39"/>
    </row>
    <row r="14" spans="3:43" x14ac:dyDescent="0.25">
      <c r="D14" s="37"/>
      <c r="E14" s="38"/>
      <c r="F14" s="38"/>
      <c r="G14" s="38"/>
      <c r="H14" s="38"/>
      <c r="I14" s="38"/>
      <c r="J14" s="38"/>
      <c r="K14" s="38"/>
      <c r="L14" s="39"/>
      <c r="N14" s="37"/>
      <c r="O14" s="38"/>
      <c r="P14" s="38"/>
      <c r="Q14" s="38"/>
      <c r="R14" s="38"/>
      <c r="S14" s="38"/>
      <c r="T14" s="38"/>
      <c r="U14" s="38"/>
      <c r="V14" s="39"/>
      <c r="X14" s="37"/>
      <c r="Y14" s="38"/>
      <c r="Z14" s="38"/>
      <c r="AA14" s="38"/>
      <c r="AB14" s="38"/>
      <c r="AC14" s="38"/>
      <c r="AD14" s="38"/>
      <c r="AE14" s="38"/>
      <c r="AF14" s="39"/>
      <c r="AH14" s="37"/>
      <c r="AI14" s="38"/>
      <c r="AJ14" s="38"/>
      <c r="AK14" s="38"/>
      <c r="AL14" s="38"/>
      <c r="AM14" s="38"/>
      <c r="AN14" s="38"/>
      <c r="AO14" s="38"/>
      <c r="AP14" s="39"/>
    </row>
    <row r="15" spans="3:43" x14ac:dyDescent="0.25">
      <c r="D15" s="37"/>
      <c r="E15" s="38"/>
      <c r="F15" s="38"/>
      <c r="G15" s="38"/>
      <c r="H15" s="38"/>
      <c r="I15" s="38"/>
      <c r="J15" s="38"/>
      <c r="K15" s="38"/>
      <c r="L15" s="39"/>
      <c r="N15" s="37"/>
      <c r="O15" s="38"/>
      <c r="P15" s="38"/>
      <c r="Q15" s="38"/>
      <c r="R15" s="38"/>
      <c r="S15" s="38"/>
      <c r="T15" s="38"/>
      <c r="U15" s="38"/>
      <c r="V15" s="39"/>
      <c r="X15" s="37"/>
      <c r="Y15" s="38"/>
      <c r="Z15" s="38"/>
      <c r="AA15" s="38"/>
      <c r="AB15" s="38"/>
      <c r="AC15" s="38"/>
      <c r="AD15" s="38"/>
      <c r="AE15" s="38"/>
      <c r="AF15" s="39"/>
      <c r="AH15" s="37"/>
      <c r="AI15" s="38"/>
      <c r="AJ15" s="38"/>
      <c r="AK15" s="38"/>
      <c r="AL15" s="38"/>
      <c r="AM15" s="38"/>
      <c r="AN15" s="38"/>
      <c r="AO15" s="38"/>
      <c r="AP15" s="39"/>
    </row>
    <row r="16" spans="3:43" x14ac:dyDescent="0.25">
      <c r="D16" s="37"/>
      <c r="E16" s="38"/>
      <c r="F16" s="38"/>
      <c r="G16" s="38"/>
      <c r="H16" s="38"/>
      <c r="I16" s="38"/>
      <c r="J16" s="38"/>
      <c r="K16" s="38"/>
      <c r="L16" s="39"/>
      <c r="N16" s="37"/>
      <c r="O16" s="38"/>
      <c r="P16" s="38"/>
      <c r="Q16" s="38"/>
      <c r="R16" s="38"/>
      <c r="S16" s="38"/>
      <c r="T16" s="38"/>
      <c r="U16" s="38"/>
      <c r="V16" s="39"/>
      <c r="X16" s="37"/>
      <c r="Y16" s="38"/>
      <c r="Z16" s="38"/>
      <c r="AA16" s="38"/>
      <c r="AB16" s="38"/>
      <c r="AC16" s="38"/>
      <c r="AD16" s="38"/>
      <c r="AE16" s="38"/>
      <c r="AF16" s="39"/>
      <c r="AH16" s="37"/>
      <c r="AI16" s="38"/>
      <c r="AJ16" s="38"/>
      <c r="AK16" s="38"/>
      <c r="AL16" s="38"/>
      <c r="AM16" s="38"/>
      <c r="AN16" s="38"/>
      <c r="AO16" s="38"/>
      <c r="AP16" s="39"/>
    </row>
    <row r="17" spans="4:42" x14ac:dyDescent="0.25">
      <c r="D17" s="37"/>
      <c r="E17" s="38"/>
      <c r="F17" s="38"/>
      <c r="G17" s="38"/>
      <c r="H17" s="38"/>
      <c r="I17" s="38"/>
      <c r="J17" s="38"/>
      <c r="K17" s="38"/>
      <c r="L17" s="39"/>
      <c r="N17" s="37"/>
      <c r="O17" s="38"/>
      <c r="P17" s="38"/>
      <c r="Q17" s="38"/>
      <c r="R17" s="38"/>
      <c r="S17" s="38"/>
      <c r="T17" s="38"/>
      <c r="U17" s="38"/>
      <c r="V17" s="39"/>
      <c r="X17" s="37"/>
      <c r="Y17" s="38"/>
      <c r="Z17" s="38"/>
      <c r="AA17" s="38"/>
      <c r="AB17" s="38"/>
      <c r="AC17" s="38"/>
      <c r="AD17" s="38"/>
      <c r="AE17" s="38"/>
      <c r="AF17" s="39"/>
      <c r="AH17" s="37"/>
      <c r="AI17" s="38"/>
      <c r="AJ17" s="38"/>
      <c r="AK17" s="38"/>
      <c r="AL17" s="38"/>
      <c r="AM17" s="38"/>
      <c r="AN17" s="38"/>
      <c r="AO17" s="38"/>
      <c r="AP17" s="39"/>
    </row>
    <row r="18" spans="4:42" x14ac:dyDescent="0.25">
      <c r="D18" s="37"/>
      <c r="E18" s="38"/>
      <c r="F18" s="38"/>
      <c r="G18" s="38"/>
      <c r="H18" s="38"/>
      <c r="I18" s="38"/>
      <c r="J18" s="38"/>
      <c r="K18" s="38"/>
      <c r="L18" s="39"/>
      <c r="N18" s="37"/>
      <c r="O18" s="38"/>
      <c r="P18" s="38"/>
      <c r="Q18" s="38"/>
      <c r="R18" s="38"/>
      <c r="S18" s="38"/>
      <c r="T18" s="38"/>
      <c r="U18" s="38"/>
      <c r="V18" s="39"/>
      <c r="X18" s="37"/>
      <c r="Y18" s="38"/>
      <c r="Z18" s="38"/>
      <c r="AA18" s="38"/>
      <c r="AB18" s="38"/>
      <c r="AC18" s="38"/>
      <c r="AD18" s="38"/>
      <c r="AE18" s="38"/>
      <c r="AF18" s="39"/>
      <c r="AH18" s="37"/>
      <c r="AI18" s="38"/>
      <c r="AJ18" s="38"/>
      <c r="AK18" s="38"/>
      <c r="AL18" s="38"/>
      <c r="AM18" s="38"/>
      <c r="AN18" s="38"/>
      <c r="AO18" s="38"/>
      <c r="AP18" s="39"/>
    </row>
    <row r="19" spans="4:42" x14ac:dyDescent="0.25">
      <c r="D19" s="37"/>
      <c r="E19" s="38"/>
      <c r="F19" s="38"/>
      <c r="G19" s="38"/>
      <c r="H19" s="38"/>
      <c r="I19" s="38"/>
      <c r="J19" s="38"/>
      <c r="K19" s="38"/>
      <c r="L19" s="39"/>
      <c r="N19" s="37"/>
      <c r="O19" s="38"/>
      <c r="P19" s="38"/>
      <c r="Q19" s="38"/>
      <c r="R19" s="38"/>
      <c r="S19" s="38"/>
      <c r="T19" s="38"/>
      <c r="U19" s="38"/>
      <c r="V19" s="39"/>
      <c r="X19" s="37"/>
      <c r="Y19" s="38"/>
      <c r="Z19" s="38"/>
      <c r="AA19" s="38"/>
      <c r="AB19" s="38"/>
      <c r="AC19" s="38"/>
      <c r="AD19" s="38"/>
      <c r="AE19" s="38"/>
      <c r="AF19" s="39"/>
      <c r="AH19" s="37"/>
      <c r="AI19" s="38"/>
      <c r="AJ19" s="38"/>
      <c r="AK19" s="38"/>
      <c r="AL19" s="38"/>
      <c r="AM19" s="38"/>
      <c r="AN19" s="38"/>
      <c r="AO19" s="38"/>
      <c r="AP19" s="39"/>
    </row>
    <row r="20" spans="4:42" x14ac:dyDescent="0.25">
      <c r="D20" s="37"/>
      <c r="E20" s="38"/>
      <c r="F20" s="38"/>
      <c r="G20" s="38"/>
      <c r="H20" s="38"/>
      <c r="I20" s="38"/>
      <c r="J20" s="38"/>
      <c r="K20" s="38"/>
      <c r="L20" s="39"/>
      <c r="N20" s="37"/>
      <c r="O20" s="38"/>
      <c r="P20" s="38"/>
      <c r="Q20" s="38"/>
      <c r="R20" s="38"/>
      <c r="S20" s="38"/>
      <c r="T20" s="38"/>
      <c r="U20" s="38"/>
      <c r="V20" s="39"/>
      <c r="X20" s="37"/>
      <c r="Y20" s="38"/>
      <c r="Z20" s="38"/>
      <c r="AA20" s="38"/>
      <c r="AB20" s="38"/>
      <c r="AC20" s="38"/>
      <c r="AD20" s="38"/>
      <c r="AE20" s="38"/>
      <c r="AF20" s="39"/>
      <c r="AH20" s="37"/>
      <c r="AI20" s="38"/>
      <c r="AJ20" s="38"/>
      <c r="AK20" s="38"/>
      <c r="AL20" s="38"/>
      <c r="AM20" s="38"/>
      <c r="AN20" s="38"/>
      <c r="AO20" s="38"/>
      <c r="AP20" s="39"/>
    </row>
    <row r="21" spans="4:42" x14ac:dyDescent="0.25">
      <c r="D21" s="37"/>
      <c r="E21" s="38"/>
      <c r="F21" s="38"/>
      <c r="G21" s="38"/>
      <c r="H21" s="38"/>
      <c r="I21" s="38"/>
      <c r="J21" s="38"/>
      <c r="K21" s="38"/>
      <c r="L21" s="39"/>
      <c r="N21" s="37"/>
      <c r="O21" s="38"/>
      <c r="P21" s="38"/>
      <c r="Q21" s="38"/>
      <c r="R21" s="38"/>
      <c r="S21" s="38"/>
      <c r="T21" s="38"/>
      <c r="U21" s="38"/>
      <c r="V21" s="39"/>
      <c r="X21" s="37"/>
      <c r="Y21" s="38"/>
      <c r="Z21" s="38"/>
      <c r="AA21" s="38"/>
      <c r="AB21" s="38"/>
      <c r="AC21" s="38"/>
      <c r="AD21" s="38"/>
      <c r="AE21" s="38"/>
      <c r="AF21" s="39"/>
      <c r="AH21" s="37"/>
      <c r="AI21" s="38"/>
      <c r="AJ21" s="38"/>
      <c r="AK21" s="38"/>
      <c r="AL21" s="38"/>
      <c r="AM21" s="38"/>
      <c r="AN21" s="38"/>
      <c r="AO21" s="38"/>
      <c r="AP21" s="39"/>
    </row>
    <row r="22" spans="4:42" ht="15.75" thickBot="1" x14ac:dyDescent="0.3">
      <c r="D22" s="37"/>
      <c r="E22" s="38"/>
      <c r="F22" s="38"/>
      <c r="G22" s="38"/>
      <c r="H22" s="38"/>
      <c r="I22" s="38"/>
      <c r="J22" s="38"/>
      <c r="K22" s="38"/>
      <c r="L22" s="39"/>
      <c r="N22" s="37"/>
      <c r="O22" s="38"/>
      <c r="P22" s="38"/>
      <c r="Q22" s="38"/>
      <c r="R22" s="38"/>
      <c r="S22" s="38"/>
      <c r="T22" s="38"/>
      <c r="U22" s="38"/>
      <c r="V22" s="39"/>
      <c r="X22" s="37"/>
      <c r="Y22" s="38"/>
      <c r="Z22" s="38"/>
      <c r="AA22" s="38"/>
      <c r="AB22" s="38"/>
      <c r="AC22" s="38"/>
      <c r="AD22" s="38"/>
      <c r="AE22" s="38"/>
      <c r="AF22" s="39"/>
      <c r="AH22" s="37"/>
      <c r="AI22" s="38"/>
      <c r="AJ22" s="38"/>
      <c r="AK22" s="38"/>
      <c r="AL22" s="38"/>
      <c r="AM22" s="38"/>
      <c r="AN22" s="38"/>
      <c r="AO22" s="38"/>
      <c r="AP22" s="39"/>
    </row>
    <row r="23" spans="4:42" x14ac:dyDescent="0.25">
      <c r="D23" s="628" t="s">
        <v>116</v>
      </c>
      <c r="E23" s="629"/>
      <c r="F23" s="629"/>
      <c r="G23" s="629"/>
      <c r="H23" s="629"/>
      <c r="I23" s="629"/>
      <c r="J23" s="629"/>
      <c r="K23" s="629"/>
      <c r="L23" s="630"/>
      <c r="N23" s="628" t="s">
        <v>117</v>
      </c>
      <c r="O23" s="629"/>
      <c r="P23" s="629"/>
      <c r="Q23" s="629"/>
      <c r="R23" s="629"/>
      <c r="S23" s="629"/>
      <c r="T23" s="629"/>
      <c r="U23" s="629"/>
      <c r="V23" s="630"/>
      <c r="X23" s="628" t="s">
        <v>117</v>
      </c>
      <c r="Y23" s="629"/>
      <c r="Z23" s="629"/>
      <c r="AA23" s="629"/>
      <c r="AB23" s="629"/>
      <c r="AC23" s="629"/>
      <c r="AD23" s="629"/>
      <c r="AE23" s="629"/>
      <c r="AF23" s="630"/>
      <c r="AH23" s="628"/>
      <c r="AI23" s="629"/>
      <c r="AJ23" s="629"/>
      <c r="AK23" s="629"/>
      <c r="AL23" s="629"/>
      <c r="AM23" s="629"/>
      <c r="AN23" s="629"/>
      <c r="AO23" s="629"/>
      <c r="AP23" s="630"/>
    </row>
    <row r="24" spans="4:42" ht="15.75" thickBot="1" x14ac:dyDescent="0.3">
      <c r="D24" s="631"/>
      <c r="E24" s="632"/>
      <c r="F24" s="632"/>
      <c r="G24" s="632"/>
      <c r="H24" s="632"/>
      <c r="I24" s="632"/>
      <c r="J24" s="632"/>
      <c r="K24" s="632"/>
      <c r="L24" s="633"/>
      <c r="N24" s="631"/>
      <c r="O24" s="632"/>
      <c r="P24" s="632"/>
      <c r="Q24" s="632"/>
      <c r="R24" s="632"/>
      <c r="S24" s="632"/>
      <c r="T24" s="632"/>
      <c r="U24" s="632"/>
      <c r="V24" s="633"/>
      <c r="X24" s="631"/>
      <c r="Y24" s="632"/>
      <c r="Z24" s="632"/>
      <c r="AA24" s="632"/>
      <c r="AB24" s="632"/>
      <c r="AC24" s="632"/>
      <c r="AD24" s="632"/>
      <c r="AE24" s="632"/>
      <c r="AF24" s="633"/>
      <c r="AH24" s="631"/>
      <c r="AI24" s="632"/>
      <c r="AJ24" s="632"/>
      <c r="AK24" s="632"/>
      <c r="AL24" s="632"/>
      <c r="AM24" s="632"/>
      <c r="AN24" s="632"/>
      <c r="AO24" s="632"/>
      <c r="AP24" s="633"/>
    </row>
    <row r="25" spans="4:42" x14ac:dyDescent="0.25">
      <c r="D25" s="614" t="s">
        <v>109</v>
      </c>
      <c r="E25" s="615"/>
      <c r="F25" s="618" t="s">
        <v>118</v>
      </c>
      <c r="G25" s="619"/>
      <c r="H25" s="622" t="s">
        <v>119</v>
      </c>
      <c r="I25" s="619"/>
      <c r="J25" s="624" t="s">
        <v>40</v>
      </c>
      <c r="K25" s="624" t="s">
        <v>120</v>
      </c>
      <c r="L25" s="624" t="s">
        <v>121</v>
      </c>
      <c r="N25" s="614" t="s">
        <v>109</v>
      </c>
      <c r="O25" s="615"/>
      <c r="P25" s="618" t="s">
        <v>118</v>
      </c>
      <c r="Q25" s="619"/>
      <c r="R25" s="622" t="s">
        <v>119</v>
      </c>
      <c r="S25" s="619"/>
      <c r="T25" s="624" t="s">
        <v>40</v>
      </c>
      <c r="U25" s="624" t="s">
        <v>120</v>
      </c>
      <c r="V25" s="624" t="s">
        <v>121</v>
      </c>
      <c r="X25" s="614" t="s">
        <v>109</v>
      </c>
      <c r="Y25" s="679"/>
      <c r="Z25" s="618" t="s">
        <v>118</v>
      </c>
      <c r="AA25" s="619"/>
      <c r="AB25" s="618" t="s">
        <v>119</v>
      </c>
      <c r="AC25" s="619"/>
      <c r="AD25" s="681" t="s">
        <v>40</v>
      </c>
      <c r="AE25" s="624" t="s">
        <v>120</v>
      </c>
      <c r="AF25" s="624" t="s">
        <v>121</v>
      </c>
      <c r="AH25" s="614"/>
      <c r="AI25" s="679"/>
      <c r="AJ25" s="618"/>
      <c r="AK25" s="619"/>
      <c r="AL25" s="618"/>
      <c r="AM25" s="619"/>
      <c r="AN25" s="681"/>
      <c r="AO25" s="624"/>
      <c r="AP25" s="624"/>
    </row>
    <row r="26" spans="4:42" ht="15.75" thickBot="1" x14ac:dyDescent="0.3">
      <c r="D26" s="616"/>
      <c r="E26" s="617"/>
      <c r="F26" s="620"/>
      <c r="G26" s="621"/>
      <c r="H26" s="623"/>
      <c r="I26" s="621"/>
      <c r="J26" s="625"/>
      <c r="K26" s="625"/>
      <c r="L26" s="625"/>
      <c r="N26" s="616"/>
      <c r="O26" s="617"/>
      <c r="P26" s="685"/>
      <c r="Q26" s="686"/>
      <c r="R26" s="687"/>
      <c r="S26" s="686"/>
      <c r="T26" s="625"/>
      <c r="U26" s="625"/>
      <c r="V26" s="625"/>
      <c r="X26" s="616"/>
      <c r="Y26" s="680"/>
      <c r="Z26" s="620"/>
      <c r="AA26" s="621"/>
      <c r="AB26" s="620"/>
      <c r="AC26" s="621"/>
      <c r="AD26" s="682"/>
      <c r="AE26" s="683"/>
      <c r="AF26" s="683"/>
      <c r="AH26" s="616"/>
      <c r="AI26" s="680"/>
      <c r="AJ26" s="620"/>
      <c r="AK26" s="621"/>
      <c r="AL26" s="620"/>
      <c r="AM26" s="621"/>
      <c r="AN26" s="682"/>
      <c r="AO26" s="683"/>
      <c r="AP26" s="683"/>
    </row>
    <row r="27" spans="4:42" x14ac:dyDescent="0.25">
      <c r="D27" s="581" t="s">
        <v>122</v>
      </c>
      <c r="E27" s="610"/>
      <c r="F27" s="606"/>
      <c r="G27" s="607"/>
      <c r="H27" s="608">
        <v>3</v>
      </c>
      <c r="I27" s="609"/>
      <c r="J27" s="40" t="s">
        <v>124</v>
      </c>
      <c r="K27" s="626">
        <v>1.125E-2</v>
      </c>
      <c r="L27" s="41">
        <f>8*2*0.0113</f>
        <v>0.18079999999999999</v>
      </c>
      <c r="N27" s="583" t="s">
        <v>122</v>
      </c>
      <c r="O27" s="611"/>
      <c r="P27" s="42"/>
      <c r="Q27" s="43"/>
      <c r="R27" s="684">
        <v>3</v>
      </c>
      <c r="S27" s="661"/>
      <c r="T27" s="44" t="s">
        <v>124</v>
      </c>
      <c r="U27" s="627">
        <v>1.125E-2</v>
      </c>
      <c r="V27" s="45">
        <f>30*5*0.0113</f>
        <v>1.6949999999999998</v>
      </c>
      <c r="X27" s="663" t="s">
        <v>122</v>
      </c>
      <c r="Y27" s="664"/>
      <c r="Z27" s="669"/>
      <c r="AA27" s="670"/>
      <c r="AB27" s="671">
        <v>3</v>
      </c>
      <c r="AC27" s="672"/>
      <c r="AD27" s="46"/>
      <c r="AE27" s="657">
        <v>1.125E-2</v>
      </c>
      <c r="AF27" s="47">
        <f>5*8*0.0113</f>
        <v>0.45199999999999996</v>
      </c>
      <c r="AH27" s="673"/>
      <c r="AI27" s="423"/>
      <c r="AJ27" s="669"/>
      <c r="AK27" s="670"/>
      <c r="AL27" s="676"/>
      <c r="AM27" s="677"/>
      <c r="AN27" s="48"/>
      <c r="AO27" s="657"/>
      <c r="AP27" s="47"/>
    </row>
    <row r="28" spans="4:42" x14ac:dyDescent="0.25">
      <c r="D28" s="583"/>
      <c r="E28" s="611"/>
      <c r="F28" s="42"/>
      <c r="G28" s="43"/>
      <c r="H28" s="598"/>
      <c r="I28" s="599"/>
      <c r="J28" s="40" t="s">
        <v>124</v>
      </c>
      <c r="K28" s="627"/>
      <c r="L28" s="45">
        <f>13*2*0.0113</f>
        <v>0.29380000000000001</v>
      </c>
      <c r="N28" s="583"/>
      <c r="O28" s="611"/>
      <c r="P28" s="42"/>
      <c r="Q28" s="43"/>
      <c r="R28" s="598"/>
      <c r="S28" s="599"/>
      <c r="T28" s="40" t="s">
        <v>124</v>
      </c>
      <c r="U28" s="627"/>
      <c r="V28" s="45">
        <f>31*4*0.0113</f>
        <v>1.4012</v>
      </c>
      <c r="X28" s="665"/>
      <c r="Y28" s="666"/>
      <c r="Z28" s="42"/>
      <c r="AA28" s="43"/>
      <c r="AB28" s="660"/>
      <c r="AC28" s="661"/>
      <c r="AD28" s="49" t="s">
        <v>124</v>
      </c>
      <c r="AE28" s="658"/>
      <c r="AF28" s="45">
        <f>30*3*0.0113</f>
        <v>1.0169999999999999</v>
      </c>
      <c r="AH28" s="674"/>
      <c r="AI28" s="425"/>
      <c r="AJ28" s="575"/>
      <c r="AK28" s="576"/>
      <c r="AL28" s="662"/>
      <c r="AM28" s="599"/>
      <c r="AN28" s="50"/>
      <c r="AO28" s="658"/>
      <c r="AP28" s="45"/>
    </row>
    <row r="29" spans="4:42" ht="15.75" thickBot="1" x14ac:dyDescent="0.3">
      <c r="D29" s="583"/>
      <c r="E29" s="611"/>
      <c r="F29" s="42"/>
      <c r="G29" s="43"/>
      <c r="H29" s="598"/>
      <c r="I29" s="599"/>
      <c r="J29" s="40" t="s">
        <v>124</v>
      </c>
      <c r="K29" s="627"/>
      <c r="L29" s="45">
        <f>18*2*0.0113</f>
        <v>0.40679999999999999</v>
      </c>
      <c r="N29" s="583"/>
      <c r="O29" s="611"/>
      <c r="P29" s="575"/>
      <c r="Q29" s="576"/>
      <c r="R29" s="598"/>
      <c r="S29" s="599"/>
      <c r="T29" s="40" t="s">
        <v>124</v>
      </c>
      <c r="U29" s="627"/>
      <c r="V29" s="45">
        <f>55*4*0.0113</f>
        <v>2.4859999999999998</v>
      </c>
      <c r="X29" s="665"/>
      <c r="Y29" s="666"/>
      <c r="Z29" s="42"/>
      <c r="AA29" s="43"/>
      <c r="AB29" s="662"/>
      <c r="AC29" s="599"/>
      <c r="AD29" s="50" t="s">
        <v>124</v>
      </c>
      <c r="AE29" s="658"/>
      <c r="AF29" s="45">
        <f>31*4*0.0113</f>
        <v>1.4012</v>
      </c>
      <c r="AH29" s="675"/>
      <c r="AI29" s="427"/>
      <c r="AJ29" s="571"/>
      <c r="AK29" s="572"/>
      <c r="AL29" s="655"/>
      <c r="AM29" s="605"/>
      <c r="AN29" s="50"/>
      <c r="AO29" s="659"/>
      <c r="AP29" s="45"/>
    </row>
    <row r="30" spans="4:42" x14ac:dyDescent="0.25">
      <c r="D30" s="583"/>
      <c r="E30" s="611"/>
      <c r="F30" s="42"/>
      <c r="G30" s="43"/>
      <c r="H30" s="598"/>
      <c r="I30" s="599"/>
      <c r="J30" s="40" t="s">
        <v>124</v>
      </c>
      <c r="K30" s="627"/>
      <c r="L30" s="45">
        <f>30*13*0.0113</f>
        <v>4.407</v>
      </c>
      <c r="N30" s="583"/>
      <c r="O30" s="611"/>
      <c r="P30" s="575"/>
      <c r="Q30" s="576"/>
      <c r="R30" s="598"/>
      <c r="S30" s="599"/>
      <c r="T30" s="40" t="s">
        <v>124</v>
      </c>
      <c r="U30" s="627"/>
      <c r="V30" s="45">
        <f>90*2*0.0113</f>
        <v>2.0339999999999998</v>
      </c>
      <c r="X30" s="665"/>
      <c r="Y30" s="666"/>
      <c r="Z30" s="575"/>
      <c r="AA30" s="576"/>
      <c r="AB30" s="662"/>
      <c r="AC30" s="599"/>
      <c r="AD30" s="50" t="s">
        <v>124</v>
      </c>
      <c r="AE30" s="658"/>
      <c r="AF30" s="45">
        <f>55*4*0.0113</f>
        <v>2.4859999999999998</v>
      </c>
      <c r="AH30" s="581"/>
      <c r="AI30" s="610"/>
      <c r="AJ30" s="577"/>
      <c r="AK30" s="585"/>
      <c r="AL30" s="656"/>
      <c r="AM30" s="587"/>
      <c r="AN30" s="51"/>
      <c r="AO30" s="41"/>
      <c r="AP30" s="41"/>
    </row>
    <row r="31" spans="4:42" ht="15.75" thickBot="1" x14ac:dyDescent="0.3">
      <c r="D31" s="583"/>
      <c r="E31" s="611"/>
      <c r="F31" s="42"/>
      <c r="G31" s="43"/>
      <c r="H31" s="598"/>
      <c r="I31" s="599"/>
      <c r="J31" s="40" t="s">
        <v>124</v>
      </c>
      <c r="K31" s="627"/>
      <c r="L31" s="45">
        <f>31*4*0.0113</f>
        <v>1.4012</v>
      </c>
      <c r="N31" s="583"/>
      <c r="O31" s="611"/>
      <c r="P31" s="571"/>
      <c r="Q31" s="572"/>
      <c r="R31" s="604"/>
      <c r="S31" s="605"/>
      <c r="T31" s="40" t="s">
        <v>124</v>
      </c>
      <c r="U31" s="627"/>
      <c r="V31" s="45">
        <f>114*4*0.0113</f>
        <v>5.1528</v>
      </c>
      <c r="X31" s="665"/>
      <c r="Y31" s="666"/>
      <c r="Z31" s="575"/>
      <c r="AA31" s="576"/>
      <c r="AB31" s="662"/>
      <c r="AC31" s="599"/>
      <c r="AD31" s="50" t="s">
        <v>124</v>
      </c>
      <c r="AE31" s="658"/>
      <c r="AF31" s="45">
        <f>90*2*0.0113</f>
        <v>2.0339999999999998</v>
      </c>
      <c r="AH31" s="583"/>
      <c r="AI31" s="611"/>
      <c r="AJ31" s="588"/>
      <c r="AK31" s="602"/>
      <c r="AL31" s="566"/>
      <c r="AM31" s="567"/>
      <c r="AN31" s="52"/>
      <c r="AO31" s="53"/>
      <c r="AP31" s="53"/>
    </row>
    <row r="32" spans="4:42" ht="15.75" thickBot="1" x14ac:dyDescent="0.3">
      <c r="D32" s="583"/>
      <c r="E32" s="611"/>
      <c r="F32" s="575"/>
      <c r="G32" s="576"/>
      <c r="H32" s="598"/>
      <c r="I32" s="599"/>
      <c r="J32" s="40" t="s">
        <v>124</v>
      </c>
      <c r="K32" s="627"/>
      <c r="L32" s="45">
        <f>55*4*0.0113</f>
        <v>2.4859999999999998</v>
      </c>
      <c r="N32" s="581" t="s">
        <v>129</v>
      </c>
      <c r="O32" s="582"/>
      <c r="P32" s="577" t="s">
        <v>42</v>
      </c>
      <c r="Q32" s="585"/>
      <c r="R32" s="586">
        <v>17</v>
      </c>
      <c r="S32" s="587"/>
      <c r="T32" s="54" t="s">
        <v>111</v>
      </c>
      <c r="U32" s="41">
        <v>0.68</v>
      </c>
      <c r="V32" s="41">
        <f>R32*U32</f>
        <v>11.56</v>
      </c>
      <c r="X32" s="667"/>
      <c r="Y32" s="668"/>
      <c r="Z32" s="571"/>
      <c r="AA32" s="572"/>
      <c r="AB32" s="655"/>
      <c r="AC32" s="605"/>
      <c r="AD32" s="50" t="s">
        <v>124</v>
      </c>
      <c r="AE32" s="659"/>
      <c r="AF32" s="45">
        <f>114*4*0.0113</f>
        <v>5.1528</v>
      </c>
      <c r="AH32" s="583"/>
      <c r="AI32" s="611"/>
      <c r="AJ32" s="595"/>
      <c r="AK32" s="596"/>
      <c r="AL32" s="654"/>
      <c r="AM32" s="594"/>
      <c r="AN32" s="55"/>
      <c r="AO32" s="56"/>
      <c r="AP32" s="56"/>
    </row>
    <row r="33" spans="3:43" x14ac:dyDescent="0.25">
      <c r="D33" s="583"/>
      <c r="E33" s="611"/>
      <c r="F33" s="575"/>
      <c r="G33" s="576"/>
      <c r="H33" s="598"/>
      <c r="I33" s="599"/>
      <c r="J33" s="40" t="s">
        <v>124</v>
      </c>
      <c r="K33" s="627"/>
      <c r="L33" s="45">
        <f>90*2*0.0113</f>
        <v>2.0339999999999998</v>
      </c>
      <c r="N33" s="583"/>
      <c r="O33" s="584"/>
      <c r="P33" s="588" t="s">
        <v>43</v>
      </c>
      <c r="Q33" s="602"/>
      <c r="R33" s="603">
        <v>4</v>
      </c>
      <c r="S33" s="567"/>
      <c r="T33" s="57" t="s">
        <v>110</v>
      </c>
      <c r="U33" s="53">
        <v>0.46</v>
      </c>
      <c r="V33" s="53">
        <f t="shared" ref="V33:V39" si="0">R33*U33</f>
        <v>1.84</v>
      </c>
      <c r="X33" s="581" t="s">
        <v>129</v>
      </c>
      <c r="Y33" s="610"/>
      <c r="Z33" s="577" t="s">
        <v>42</v>
      </c>
      <c r="AA33" s="585"/>
      <c r="AB33" s="656">
        <v>23</v>
      </c>
      <c r="AC33" s="587"/>
      <c r="AD33" s="51" t="s">
        <v>111</v>
      </c>
      <c r="AE33" s="41">
        <v>0.68</v>
      </c>
      <c r="AF33" s="41">
        <f>AB33*AE33</f>
        <v>15.64</v>
      </c>
      <c r="AH33" s="577"/>
      <c r="AI33" s="585"/>
      <c r="AJ33" s="577"/>
      <c r="AK33" s="585"/>
      <c r="AL33" s="579"/>
      <c r="AM33" s="590"/>
      <c r="AN33" s="51"/>
      <c r="AO33" s="41"/>
      <c r="AP33" s="41"/>
    </row>
    <row r="34" spans="3:43" ht="15.75" thickBot="1" x14ac:dyDescent="0.3">
      <c r="D34" s="583"/>
      <c r="E34" s="611"/>
      <c r="F34" s="571"/>
      <c r="G34" s="572"/>
      <c r="H34" s="604"/>
      <c r="I34" s="605"/>
      <c r="J34" s="40" t="s">
        <v>124</v>
      </c>
      <c r="K34" s="627"/>
      <c r="L34" s="45">
        <f>114*4*0.0113</f>
        <v>5.1528</v>
      </c>
      <c r="N34" s="583"/>
      <c r="O34" s="584"/>
      <c r="P34" s="595" t="s">
        <v>44</v>
      </c>
      <c r="Q34" s="596"/>
      <c r="R34" s="593">
        <v>4</v>
      </c>
      <c r="S34" s="594"/>
      <c r="T34" s="58" t="s">
        <v>110</v>
      </c>
      <c r="U34" s="56">
        <v>0.45</v>
      </c>
      <c r="V34" s="56">
        <f t="shared" si="0"/>
        <v>1.8</v>
      </c>
      <c r="X34" s="583"/>
      <c r="Y34" s="611"/>
      <c r="Z34" s="588" t="s">
        <v>43</v>
      </c>
      <c r="AA34" s="602"/>
      <c r="AB34" s="566">
        <v>4</v>
      </c>
      <c r="AC34" s="567"/>
      <c r="AD34" s="52" t="s">
        <v>110</v>
      </c>
      <c r="AE34" s="53">
        <v>0.46</v>
      </c>
      <c r="AF34" s="53">
        <f t="shared" ref="AF34:AF40" si="1">AB34*AE34</f>
        <v>1.84</v>
      </c>
      <c r="AH34" s="588"/>
      <c r="AI34" s="602"/>
      <c r="AJ34" s="588"/>
      <c r="AK34" s="602"/>
      <c r="AL34" s="591"/>
      <c r="AM34" s="592"/>
      <c r="AN34" s="52"/>
      <c r="AO34" s="58"/>
      <c r="AP34" s="53"/>
    </row>
    <row r="35" spans="3:43" ht="15.75" thickBot="1" x14ac:dyDescent="0.3">
      <c r="D35" s="581" t="s">
        <v>129</v>
      </c>
      <c r="E35" s="582"/>
      <c r="F35" s="577" t="s">
        <v>42</v>
      </c>
      <c r="G35" s="585"/>
      <c r="H35" s="586">
        <v>21</v>
      </c>
      <c r="I35" s="587"/>
      <c r="J35" s="54" t="s">
        <v>111</v>
      </c>
      <c r="K35" s="41">
        <v>0.68</v>
      </c>
      <c r="L35" s="41">
        <f>H35*K35</f>
        <v>14.280000000000001</v>
      </c>
      <c r="N35" s="577" t="s">
        <v>51</v>
      </c>
      <c r="O35" s="578"/>
      <c r="P35" s="577" t="s">
        <v>171</v>
      </c>
      <c r="Q35" s="578"/>
      <c r="R35" s="579">
        <v>4</v>
      </c>
      <c r="S35" s="590"/>
      <c r="T35" s="54" t="s">
        <v>110</v>
      </c>
      <c r="U35" s="59">
        <v>1.35</v>
      </c>
      <c r="V35" s="41">
        <f t="shared" si="0"/>
        <v>5.4</v>
      </c>
      <c r="X35" s="583"/>
      <c r="Y35" s="611"/>
      <c r="Z35" s="595" t="s">
        <v>44</v>
      </c>
      <c r="AA35" s="596"/>
      <c r="AB35" s="654">
        <v>4</v>
      </c>
      <c r="AC35" s="594"/>
      <c r="AD35" s="55" t="s">
        <v>110</v>
      </c>
      <c r="AE35" s="56">
        <v>0.45</v>
      </c>
      <c r="AF35" s="56">
        <f t="shared" si="1"/>
        <v>1.8</v>
      </c>
      <c r="AH35" s="575"/>
      <c r="AI35" s="576"/>
      <c r="AJ35" s="575"/>
      <c r="AK35" s="576"/>
      <c r="AL35" s="566"/>
      <c r="AM35" s="567"/>
      <c r="AN35" s="52"/>
      <c r="AO35" s="58"/>
      <c r="AP35" s="53"/>
    </row>
    <row r="36" spans="3:43" x14ac:dyDescent="0.25">
      <c r="D36" s="583"/>
      <c r="E36" s="584"/>
      <c r="F36" s="588" t="s">
        <v>43</v>
      </c>
      <c r="G36" s="602"/>
      <c r="H36" s="603">
        <v>4</v>
      </c>
      <c r="I36" s="567"/>
      <c r="J36" s="57" t="s">
        <v>110</v>
      </c>
      <c r="K36" s="53">
        <v>0.46</v>
      </c>
      <c r="L36" s="53">
        <f t="shared" ref="L36:L42" si="2">H36*K36</f>
        <v>1.84</v>
      </c>
      <c r="N36" s="588" t="s">
        <v>130</v>
      </c>
      <c r="O36" s="589"/>
      <c r="P36" s="588" t="s">
        <v>46</v>
      </c>
      <c r="Q36" s="589"/>
      <c r="R36" s="591">
        <v>12</v>
      </c>
      <c r="S36" s="592"/>
      <c r="T36" s="57" t="s">
        <v>111</v>
      </c>
      <c r="U36" s="55">
        <v>7.0000000000000007E-2</v>
      </c>
      <c r="V36" s="53">
        <f t="shared" si="0"/>
        <v>0.84000000000000008</v>
      </c>
      <c r="X36" s="577" t="s">
        <v>51</v>
      </c>
      <c r="Y36" s="585"/>
      <c r="Z36" s="577" t="s">
        <v>171</v>
      </c>
      <c r="AA36" s="578"/>
      <c r="AB36" s="579">
        <v>4</v>
      </c>
      <c r="AC36" s="590"/>
      <c r="AD36" s="51" t="s">
        <v>110</v>
      </c>
      <c r="AE36" s="41">
        <v>1.35</v>
      </c>
      <c r="AF36" s="41">
        <f t="shared" si="1"/>
        <v>5.4</v>
      </c>
      <c r="AH36" s="575"/>
      <c r="AI36" s="576"/>
      <c r="AJ36" s="575"/>
      <c r="AK36" s="576"/>
      <c r="AL36" s="566"/>
      <c r="AM36" s="567"/>
      <c r="AN36" s="52"/>
      <c r="AO36" s="58"/>
      <c r="AP36" s="56"/>
    </row>
    <row r="37" spans="3:43" ht="15.75" thickBot="1" x14ac:dyDescent="0.3">
      <c r="D37" s="583"/>
      <c r="E37" s="584"/>
      <c r="F37" s="595" t="s">
        <v>44</v>
      </c>
      <c r="G37" s="596"/>
      <c r="H37" s="593">
        <v>4</v>
      </c>
      <c r="I37" s="594"/>
      <c r="J37" s="58" t="s">
        <v>110</v>
      </c>
      <c r="K37" s="56">
        <v>0.45</v>
      </c>
      <c r="L37" s="56">
        <f t="shared" si="2"/>
        <v>1.8</v>
      </c>
      <c r="N37" s="575" t="s">
        <v>148</v>
      </c>
      <c r="O37" s="576"/>
      <c r="P37" s="575" t="s">
        <v>154</v>
      </c>
      <c r="Q37" s="576"/>
      <c r="R37" s="566">
        <v>12</v>
      </c>
      <c r="S37" s="567"/>
      <c r="T37" s="57" t="s">
        <v>124</v>
      </c>
      <c r="U37" s="55">
        <v>1.4999999999999999E-2</v>
      </c>
      <c r="V37" s="53">
        <f t="shared" si="0"/>
        <v>0.18</v>
      </c>
      <c r="X37" s="588" t="s">
        <v>130</v>
      </c>
      <c r="Y37" s="602"/>
      <c r="Z37" s="588" t="s">
        <v>46</v>
      </c>
      <c r="AA37" s="589"/>
      <c r="AB37" s="591">
        <v>12</v>
      </c>
      <c r="AC37" s="592"/>
      <c r="AD37" s="52" t="s">
        <v>111</v>
      </c>
      <c r="AE37" s="58">
        <v>7.0000000000000007E-2</v>
      </c>
      <c r="AF37" s="53">
        <f t="shared" si="1"/>
        <v>0.84000000000000008</v>
      </c>
      <c r="AH37" s="575"/>
      <c r="AI37" s="576"/>
      <c r="AJ37" s="575"/>
      <c r="AK37" s="576"/>
      <c r="AL37" s="566"/>
      <c r="AM37" s="567"/>
      <c r="AN37" s="55"/>
      <c r="AO37" s="688"/>
      <c r="AP37" s="56"/>
    </row>
    <row r="38" spans="3:43" ht="15.75" thickBot="1" x14ac:dyDescent="0.3">
      <c r="D38" s="577" t="s">
        <v>51</v>
      </c>
      <c r="E38" s="578"/>
      <c r="F38" s="577" t="s">
        <v>171</v>
      </c>
      <c r="G38" s="578"/>
      <c r="H38" s="579">
        <v>4</v>
      </c>
      <c r="I38" s="590"/>
      <c r="J38" s="54" t="s">
        <v>110</v>
      </c>
      <c r="K38" s="59">
        <v>1.35</v>
      </c>
      <c r="L38" s="41">
        <f t="shared" si="2"/>
        <v>5.4</v>
      </c>
      <c r="N38" s="575" t="s">
        <v>47</v>
      </c>
      <c r="O38" s="576"/>
      <c r="P38" s="575" t="s">
        <v>48</v>
      </c>
      <c r="Q38" s="576"/>
      <c r="R38" s="566">
        <v>8</v>
      </c>
      <c r="S38" s="567"/>
      <c r="T38" s="57" t="s">
        <v>124</v>
      </c>
      <c r="U38" s="55">
        <v>7.0000000000000007E-2</v>
      </c>
      <c r="V38" s="56">
        <f t="shared" si="0"/>
        <v>0.56000000000000005</v>
      </c>
      <c r="X38" s="575" t="s">
        <v>163</v>
      </c>
      <c r="Y38" s="576"/>
      <c r="Z38" s="575" t="s">
        <v>154</v>
      </c>
      <c r="AA38" s="576"/>
      <c r="AB38" s="566">
        <v>12</v>
      </c>
      <c r="AC38" s="567"/>
      <c r="AD38" s="52" t="s">
        <v>124</v>
      </c>
      <c r="AE38" s="58">
        <v>1.4999999999999999E-2</v>
      </c>
      <c r="AF38" s="53">
        <f t="shared" si="1"/>
        <v>0.18</v>
      </c>
      <c r="AH38" s="571"/>
      <c r="AI38" s="572"/>
      <c r="AJ38" s="571"/>
      <c r="AK38" s="572"/>
      <c r="AL38" s="573"/>
      <c r="AM38" s="574"/>
      <c r="AN38" s="60"/>
      <c r="AO38" s="689"/>
      <c r="AP38" s="61"/>
    </row>
    <row r="39" spans="3:43" ht="16.5" thickBot="1" x14ac:dyDescent="0.3">
      <c r="D39" s="588" t="s">
        <v>130</v>
      </c>
      <c r="E39" s="589"/>
      <c r="F39" s="588" t="s">
        <v>46</v>
      </c>
      <c r="G39" s="589"/>
      <c r="H39" s="591">
        <v>12</v>
      </c>
      <c r="I39" s="592"/>
      <c r="J39" s="57" t="s">
        <v>111</v>
      </c>
      <c r="K39" s="55">
        <v>7.0000000000000007E-2</v>
      </c>
      <c r="L39" s="53">
        <f t="shared" si="2"/>
        <v>0.84000000000000008</v>
      </c>
      <c r="N39" s="575" t="s">
        <v>132</v>
      </c>
      <c r="O39" s="576"/>
      <c r="P39" s="575" t="s">
        <v>50</v>
      </c>
      <c r="Q39" s="576"/>
      <c r="R39" s="566">
        <v>10</v>
      </c>
      <c r="S39" s="567"/>
      <c r="T39" s="58" t="s">
        <v>124</v>
      </c>
      <c r="U39" s="55">
        <v>0.13</v>
      </c>
      <c r="V39" s="56">
        <f t="shared" si="0"/>
        <v>1.3</v>
      </c>
      <c r="X39" s="575" t="s">
        <v>47</v>
      </c>
      <c r="Y39" s="576"/>
      <c r="Z39" s="575" t="s">
        <v>48</v>
      </c>
      <c r="AA39" s="576"/>
      <c r="AB39" s="566">
        <v>8</v>
      </c>
      <c r="AC39" s="567"/>
      <c r="AD39" s="52" t="s">
        <v>124</v>
      </c>
      <c r="AE39" s="58">
        <v>7.0000000000000007E-2</v>
      </c>
      <c r="AF39" s="56">
        <f t="shared" si="1"/>
        <v>0.56000000000000005</v>
      </c>
      <c r="AH39" s="568"/>
      <c r="AI39" s="569"/>
      <c r="AJ39" s="569"/>
      <c r="AK39" s="569"/>
      <c r="AL39" s="569"/>
      <c r="AM39" s="569"/>
      <c r="AN39" s="569"/>
      <c r="AO39" s="569"/>
      <c r="AP39" s="62"/>
    </row>
    <row r="40" spans="3:43" ht="15.75" thickBot="1" x14ac:dyDescent="0.3">
      <c r="D40" s="575" t="s">
        <v>148</v>
      </c>
      <c r="E40" s="576"/>
      <c r="F40" s="575" t="s">
        <v>147</v>
      </c>
      <c r="G40" s="576"/>
      <c r="H40" s="566">
        <v>12</v>
      </c>
      <c r="I40" s="567"/>
      <c r="J40" s="57" t="s">
        <v>124</v>
      </c>
      <c r="K40" s="55">
        <v>1.4999999999999999E-2</v>
      </c>
      <c r="L40" s="53">
        <f t="shared" si="2"/>
        <v>0.18</v>
      </c>
      <c r="N40" s="571" t="s">
        <v>150</v>
      </c>
      <c r="O40" s="572"/>
      <c r="P40" s="571" t="s">
        <v>161</v>
      </c>
      <c r="Q40" s="572"/>
      <c r="R40" s="573">
        <v>1</v>
      </c>
      <c r="S40" s="574"/>
      <c r="T40" s="61" t="s">
        <v>131</v>
      </c>
      <c r="U40" s="60">
        <v>1.1000000000000001E-3</v>
      </c>
      <c r="V40" s="61">
        <f>114*55*0.0011</f>
        <v>6.8970000000000002</v>
      </c>
      <c r="X40" s="575" t="s">
        <v>132</v>
      </c>
      <c r="Y40" s="576"/>
      <c r="Z40" s="575" t="s">
        <v>50</v>
      </c>
      <c r="AA40" s="576"/>
      <c r="AB40" s="566">
        <v>11</v>
      </c>
      <c r="AC40" s="567"/>
      <c r="AD40" s="55" t="s">
        <v>124</v>
      </c>
      <c r="AE40" s="58">
        <v>0.13</v>
      </c>
      <c r="AF40" s="56">
        <f t="shared" si="1"/>
        <v>1.4300000000000002</v>
      </c>
      <c r="AH40" s="38"/>
      <c r="AI40" s="38"/>
      <c r="AJ40" s="38"/>
      <c r="AK40" s="38"/>
      <c r="AL40" s="38"/>
      <c r="AM40" s="38"/>
      <c r="AN40" s="38"/>
      <c r="AO40" s="38"/>
      <c r="AP40" s="38"/>
    </row>
    <row r="41" spans="3:43" ht="16.5" thickBot="1" x14ac:dyDescent="0.3">
      <c r="D41" s="575" t="s">
        <v>47</v>
      </c>
      <c r="E41" s="576"/>
      <c r="F41" s="575" t="s">
        <v>48</v>
      </c>
      <c r="G41" s="576"/>
      <c r="H41" s="566">
        <v>8</v>
      </c>
      <c r="I41" s="567"/>
      <c r="J41" s="57" t="s">
        <v>124</v>
      </c>
      <c r="K41" s="55">
        <v>7.0000000000000007E-2</v>
      </c>
      <c r="L41" s="56">
        <f t="shared" si="2"/>
        <v>0.56000000000000005</v>
      </c>
      <c r="N41" s="568" t="s">
        <v>133</v>
      </c>
      <c r="O41" s="569"/>
      <c r="P41" s="569"/>
      <c r="Q41" s="569"/>
      <c r="R41" s="569"/>
      <c r="S41" s="569"/>
      <c r="T41" s="569"/>
      <c r="U41" s="569"/>
      <c r="V41" s="62">
        <f>SUM(V27:V40)</f>
        <v>43.146000000000001</v>
      </c>
      <c r="X41" s="571" t="s">
        <v>150</v>
      </c>
      <c r="Y41" s="572"/>
      <c r="Z41" s="571" t="s">
        <v>164</v>
      </c>
      <c r="AA41" s="572"/>
      <c r="AB41" s="573">
        <v>1</v>
      </c>
      <c r="AC41" s="574"/>
      <c r="AD41" s="60" t="s">
        <v>131</v>
      </c>
      <c r="AE41" s="61">
        <v>1.1000000000000001E-3</v>
      </c>
      <c r="AF41" s="61">
        <f>114*55*0.0011</f>
        <v>6.8970000000000002</v>
      </c>
      <c r="AH41" s="38"/>
      <c r="AI41" s="38"/>
      <c r="AJ41" s="38"/>
      <c r="AK41" s="38"/>
      <c r="AL41" s="38"/>
      <c r="AM41" s="38"/>
      <c r="AN41" s="38"/>
      <c r="AO41" s="38"/>
      <c r="AP41" s="38"/>
    </row>
    <row r="42" spans="3:43" ht="16.5" thickBot="1" x14ac:dyDescent="0.3">
      <c r="D42" s="575" t="s">
        <v>132</v>
      </c>
      <c r="E42" s="576"/>
      <c r="F42" s="575" t="s">
        <v>50</v>
      </c>
      <c r="G42" s="576"/>
      <c r="H42" s="566">
        <v>10</v>
      </c>
      <c r="I42" s="567"/>
      <c r="J42" s="58" t="s">
        <v>124</v>
      </c>
      <c r="K42" s="55">
        <v>0.13</v>
      </c>
      <c r="L42" s="56">
        <f t="shared" si="2"/>
        <v>1.3</v>
      </c>
      <c r="N42" s="38"/>
      <c r="O42" s="38"/>
      <c r="P42" s="38"/>
      <c r="Q42" s="38"/>
      <c r="R42" s="38"/>
      <c r="S42" s="38"/>
      <c r="T42" s="38"/>
      <c r="U42" s="38"/>
      <c r="V42" s="38"/>
      <c r="X42" s="568" t="s">
        <v>133</v>
      </c>
      <c r="Y42" s="569"/>
      <c r="Z42" s="569"/>
      <c r="AA42" s="569"/>
      <c r="AB42" s="569"/>
      <c r="AC42" s="569"/>
      <c r="AD42" s="569"/>
      <c r="AE42" s="569"/>
      <c r="AF42" s="62">
        <f>SUM(AF27:AF41)</f>
        <v>47.13</v>
      </c>
      <c r="AH42" s="38"/>
      <c r="AI42" s="38"/>
      <c r="AJ42" s="38"/>
      <c r="AK42" s="38"/>
      <c r="AL42" s="38"/>
      <c r="AM42" s="38"/>
      <c r="AN42" s="38"/>
      <c r="AO42" s="38"/>
      <c r="AP42" s="38"/>
    </row>
    <row r="43" spans="3:43" ht="15.75" thickBot="1" x14ac:dyDescent="0.3">
      <c r="D43" s="571" t="s">
        <v>162</v>
      </c>
      <c r="E43" s="572"/>
      <c r="F43" s="571" t="s">
        <v>161</v>
      </c>
      <c r="G43" s="572"/>
      <c r="H43" s="573">
        <v>1</v>
      </c>
      <c r="I43" s="574"/>
      <c r="J43" s="61" t="s">
        <v>131</v>
      </c>
      <c r="K43" s="60">
        <v>1.1000000000000001E-3</v>
      </c>
      <c r="L43" s="61">
        <f>114*55*0.0011</f>
        <v>6.8970000000000002</v>
      </c>
      <c r="N43" s="38"/>
      <c r="O43" s="38"/>
      <c r="P43" s="38"/>
      <c r="Q43" s="38"/>
      <c r="R43" s="38"/>
      <c r="S43" s="38"/>
      <c r="T43" s="38"/>
      <c r="U43" s="38"/>
      <c r="V43" s="38"/>
      <c r="X43" s="38"/>
      <c r="Y43" s="38"/>
      <c r="Z43" s="38"/>
      <c r="AA43" s="38"/>
      <c r="AB43" s="38"/>
      <c r="AC43" s="38"/>
      <c r="AD43" s="38"/>
      <c r="AE43" s="38"/>
      <c r="AF43" s="38"/>
      <c r="AH43" s="38"/>
      <c r="AI43" s="38"/>
      <c r="AJ43" s="38"/>
      <c r="AK43" s="38"/>
      <c r="AL43" s="38"/>
      <c r="AM43" s="38"/>
      <c r="AN43" s="38"/>
      <c r="AO43" s="38"/>
      <c r="AP43" s="38"/>
    </row>
    <row r="44" spans="3:43" ht="16.5" thickBot="1" x14ac:dyDescent="0.3">
      <c r="D44" s="568" t="s">
        <v>133</v>
      </c>
      <c r="E44" s="569"/>
      <c r="F44" s="569"/>
      <c r="G44" s="569"/>
      <c r="H44" s="569"/>
      <c r="I44" s="569"/>
      <c r="J44" s="569"/>
      <c r="K44" s="570"/>
      <c r="L44" s="62">
        <f>SUM(L27:L43)</f>
        <v>49.459399999999995</v>
      </c>
      <c r="N44" s="38"/>
      <c r="O44" s="38"/>
      <c r="P44" s="38"/>
      <c r="Q44" s="38"/>
      <c r="R44" s="38"/>
      <c r="S44" s="38"/>
      <c r="T44" s="38"/>
      <c r="U44" s="38"/>
      <c r="V44" s="38"/>
      <c r="X44" s="38"/>
      <c r="Y44" s="38"/>
      <c r="Z44" s="38"/>
      <c r="AA44" s="38"/>
      <c r="AB44" s="38"/>
      <c r="AC44" s="38"/>
      <c r="AD44" s="38"/>
      <c r="AE44" s="38"/>
      <c r="AF44" s="38"/>
      <c r="AH44" s="38"/>
      <c r="AI44" s="38"/>
      <c r="AJ44" s="38"/>
      <c r="AK44" s="38"/>
      <c r="AL44" s="38"/>
      <c r="AM44" s="38"/>
      <c r="AN44" s="38"/>
      <c r="AO44" s="38"/>
      <c r="AP44" s="38"/>
    </row>
    <row r="45" spans="3:43" ht="15.75" thickBot="1" x14ac:dyDescent="0.3"/>
    <row r="46" spans="3:43" ht="27.75" thickBot="1" x14ac:dyDescent="0.3">
      <c r="D46" s="235" t="s">
        <v>114</v>
      </c>
      <c r="E46" s="236"/>
      <c r="F46" s="236"/>
      <c r="G46" s="236"/>
      <c r="H46" s="236"/>
      <c r="I46" s="236"/>
      <c r="J46" s="236"/>
      <c r="K46" s="236"/>
      <c r="L46" s="237"/>
      <c r="N46" s="235" t="s">
        <v>113</v>
      </c>
      <c r="O46" s="236"/>
      <c r="P46" s="236"/>
      <c r="Q46" s="236"/>
      <c r="R46" s="236"/>
      <c r="S46" s="236"/>
      <c r="T46" s="236"/>
      <c r="U46" s="236"/>
      <c r="V46" s="237"/>
      <c r="X46" s="235" t="s">
        <v>113</v>
      </c>
      <c r="Y46" s="236"/>
      <c r="Z46" s="236"/>
      <c r="AA46" s="236"/>
      <c r="AB46" s="236"/>
      <c r="AC46" s="236"/>
      <c r="AD46" s="236"/>
      <c r="AE46" s="236"/>
      <c r="AF46" s="237"/>
      <c r="AH46" s="235" t="s">
        <v>115</v>
      </c>
      <c r="AI46" s="236"/>
      <c r="AJ46" s="236"/>
      <c r="AK46" s="236"/>
      <c r="AL46" s="236"/>
      <c r="AM46" s="236"/>
      <c r="AN46" s="236"/>
      <c r="AO46" s="236"/>
      <c r="AP46" s="237"/>
    </row>
    <row r="47" spans="3:43" ht="16.5" thickBot="1" x14ac:dyDescent="0.3">
      <c r="D47" s="234" t="s">
        <v>65</v>
      </c>
      <c r="E47" s="234"/>
      <c r="F47" s="234"/>
      <c r="G47" s="234"/>
      <c r="H47" s="234"/>
      <c r="I47" s="234"/>
      <c r="J47" s="234"/>
      <c r="K47" s="234"/>
      <c r="L47" s="234"/>
      <c r="N47" s="234" t="s">
        <v>66</v>
      </c>
      <c r="O47" s="234"/>
      <c r="P47" s="234"/>
      <c r="Q47" s="234"/>
      <c r="R47" s="234"/>
      <c r="S47" s="234"/>
      <c r="T47" s="234"/>
      <c r="U47" s="234"/>
      <c r="V47" s="234"/>
      <c r="X47" s="234" t="s">
        <v>67</v>
      </c>
      <c r="Y47" s="234"/>
      <c r="Z47" s="234"/>
      <c r="AA47" s="234"/>
      <c r="AB47" s="234"/>
      <c r="AC47" s="234"/>
      <c r="AD47" s="234"/>
      <c r="AE47" s="234"/>
      <c r="AF47" s="234"/>
      <c r="AH47" s="234" t="s">
        <v>68</v>
      </c>
      <c r="AI47" s="234"/>
      <c r="AJ47" s="234"/>
      <c r="AK47" s="234"/>
      <c r="AL47" s="234"/>
      <c r="AM47" s="234"/>
      <c r="AN47" s="234"/>
      <c r="AO47" s="234"/>
      <c r="AP47" s="234"/>
    </row>
    <row r="48" spans="3:43" ht="21" thickBot="1" x14ac:dyDescent="0.3">
      <c r="C48" s="24"/>
      <c r="D48" s="222" t="s">
        <v>69</v>
      </c>
      <c r="E48" s="223"/>
      <c r="F48" s="223"/>
      <c r="G48" s="223"/>
      <c r="H48" s="223"/>
      <c r="I48" s="223"/>
      <c r="J48" s="223"/>
      <c r="K48" s="223"/>
      <c r="L48" s="224"/>
      <c r="M48" s="24"/>
      <c r="N48" s="222" t="s">
        <v>70</v>
      </c>
      <c r="O48" s="223"/>
      <c r="P48" s="223"/>
      <c r="Q48" s="223"/>
      <c r="R48" s="223"/>
      <c r="S48" s="223"/>
      <c r="T48" s="223"/>
      <c r="U48" s="223"/>
      <c r="V48" s="224"/>
      <c r="W48" s="24"/>
      <c r="X48" s="222" t="s">
        <v>71</v>
      </c>
      <c r="Y48" s="223"/>
      <c r="Z48" s="223"/>
      <c r="AA48" s="223"/>
      <c r="AB48" s="223"/>
      <c r="AC48" s="223"/>
      <c r="AD48" s="223"/>
      <c r="AE48" s="223"/>
      <c r="AF48" s="224"/>
      <c r="AG48" s="24"/>
      <c r="AH48" s="222" t="s">
        <v>72</v>
      </c>
      <c r="AI48" s="223"/>
      <c r="AJ48" s="223"/>
      <c r="AK48" s="223"/>
      <c r="AL48" s="223"/>
      <c r="AM48" s="223"/>
      <c r="AN48" s="223"/>
      <c r="AO48" s="223"/>
      <c r="AP48" s="224"/>
      <c r="AQ48" s="24"/>
    </row>
    <row r="49" spans="4:42" x14ac:dyDescent="0.25">
      <c r="D49" s="34"/>
      <c r="E49" s="35"/>
      <c r="F49" s="35"/>
      <c r="G49" s="35"/>
      <c r="H49" s="35"/>
      <c r="I49" s="35"/>
      <c r="J49" s="35"/>
      <c r="K49" s="35"/>
      <c r="L49" s="36"/>
      <c r="N49" s="34"/>
      <c r="O49" s="35"/>
      <c r="P49" s="35"/>
      <c r="Q49" s="35"/>
      <c r="R49" s="35"/>
      <c r="S49" s="35"/>
      <c r="T49" s="35"/>
      <c r="U49" s="35"/>
      <c r="V49" s="36"/>
      <c r="X49" s="34"/>
      <c r="Y49" s="35"/>
      <c r="Z49" s="35"/>
      <c r="AA49" s="35"/>
      <c r="AB49" s="35"/>
      <c r="AC49" s="35"/>
      <c r="AD49" s="35"/>
      <c r="AE49" s="35"/>
      <c r="AF49" s="36"/>
      <c r="AH49" s="34"/>
      <c r="AI49" s="35"/>
      <c r="AJ49" s="35"/>
      <c r="AK49" s="35"/>
      <c r="AL49" s="35"/>
      <c r="AM49" s="35"/>
      <c r="AN49" s="35"/>
      <c r="AO49" s="35"/>
      <c r="AP49" s="36"/>
    </row>
    <row r="50" spans="4:42" x14ac:dyDescent="0.25">
      <c r="D50" s="37"/>
      <c r="E50" s="38"/>
      <c r="F50" s="38"/>
      <c r="G50" s="38"/>
      <c r="H50" s="38"/>
      <c r="I50" s="38"/>
      <c r="J50" s="38"/>
      <c r="K50" s="38"/>
      <c r="L50" s="39"/>
      <c r="N50" s="37"/>
      <c r="O50" s="38"/>
      <c r="P50" s="38"/>
      <c r="Q50" s="38"/>
      <c r="R50" s="38"/>
      <c r="S50" s="38"/>
      <c r="T50" s="38"/>
      <c r="U50" s="38"/>
      <c r="V50" s="39"/>
      <c r="X50" s="37"/>
      <c r="Y50" s="38"/>
      <c r="Z50" s="38"/>
      <c r="AA50" s="38"/>
      <c r="AB50" s="38"/>
      <c r="AC50" s="38"/>
      <c r="AD50" s="38"/>
      <c r="AE50" s="38"/>
      <c r="AF50" s="39"/>
      <c r="AH50" s="37"/>
      <c r="AI50" s="38"/>
      <c r="AJ50" s="38"/>
      <c r="AK50" s="38"/>
      <c r="AL50" s="38"/>
      <c r="AM50" s="38"/>
      <c r="AN50" s="38"/>
      <c r="AO50" s="38"/>
      <c r="AP50" s="39"/>
    </row>
    <row r="51" spans="4:42" x14ac:dyDescent="0.25">
      <c r="D51" s="37"/>
      <c r="E51" s="38"/>
      <c r="F51" s="38"/>
      <c r="G51" s="38"/>
      <c r="H51" s="38"/>
      <c r="I51" s="38"/>
      <c r="J51" s="38"/>
      <c r="K51" s="38"/>
      <c r="L51" s="39"/>
      <c r="N51" s="37"/>
      <c r="O51" s="38"/>
      <c r="P51" s="38"/>
      <c r="Q51" s="38"/>
      <c r="R51" s="38"/>
      <c r="S51" s="38"/>
      <c r="T51" s="38"/>
      <c r="U51" s="38"/>
      <c r="V51" s="39"/>
      <c r="X51" s="37"/>
      <c r="Y51" s="38"/>
      <c r="Z51" s="38"/>
      <c r="AA51" s="38"/>
      <c r="AB51" s="38"/>
      <c r="AC51" s="38"/>
      <c r="AD51" s="38"/>
      <c r="AE51" s="38"/>
      <c r="AF51" s="39"/>
      <c r="AH51" s="37"/>
      <c r="AI51" s="38"/>
      <c r="AJ51" s="38"/>
      <c r="AK51" s="38"/>
      <c r="AL51" s="38"/>
      <c r="AM51" s="38"/>
      <c r="AN51" s="38"/>
      <c r="AO51" s="38"/>
      <c r="AP51" s="39"/>
    </row>
    <row r="52" spans="4:42" x14ac:dyDescent="0.25">
      <c r="D52" s="37"/>
      <c r="E52" s="38"/>
      <c r="F52" s="38"/>
      <c r="G52" s="38"/>
      <c r="H52" s="38"/>
      <c r="I52" s="38"/>
      <c r="J52" s="38"/>
      <c r="K52" s="38"/>
      <c r="L52" s="39"/>
      <c r="N52" s="37"/>
      <c r="O52" s="38"/>
      <c r="P52" s="38"/>
      <c r="Q52" s="38"/>
      <c r="R52" s="38"/>
      <c r="S52" s="38"/>
      <c r="T52" s="38"/>
      <c r="U52" s="38"/>
      <c r="V52" s="39"/>
      <c r="X52" s="37"/>
      <c r="Y52" s="38"/>
      <c r="Z52" s="38"/>
      <c r="AA52" s="38"/>
      <c r="AB52" s="38"/>
      <c r="AC52" s="38"/>
      <c r="AD52" s="38"/>
      <c r="AE52" s="38"/>
      <c r="AF52" s="39"/>
      <c r="AH52" s="37"/>
      <c r="AI52" s="38"/>
      <c r="AJ52" s="38"/>
      <c r="AK52" s="38"/>
      <c r="AL52" s="38"/>
      <c r="AM52" s="38"/>
      <c r="AN52" s="38"/>
      <c r="AO52" s="38"/>
      <c r="AP52" s="39"/>
    </row>
    <row r="53" spans="4:42" x14ac:dyDescent="0.25">
      <c r="D53" s="37"/>
      <c r="E53" s="38"/>
      <c r="F53" s="38"/>
      <c r="G53" s="38"/>
      <c r="H53" s="38"/>
      <c r="I53" s="38"/>
      <c r="J53" s="38"/>
      <c r="K53" s="38"/>
      <c r="L53" s="39"/>
      <c r="N53" s="37"/>
      <c r="O53" s="38"/>
      <c r="P53" s="38"/>
      <c r="Q53" s="38"/>
      <c r="R53" s="38"/>
      <c r="S53" s="38"/>
      <c r="T53" s="38"/>
      <c r="U53" s="38"/>
      <c r="V53" s="39"/>
      <c r="X53" s="37"/>
      <c r="Y53" s="38"/>
      <c r="Z53" s="38"/>
      <c r="AA53" s="38"/>
      <c r="AB53" s="38"/>
      <c r="AC53" s="38"/>
      <c r="AD53" s="38"/>
      <c r="AE53" s="38"/>
      <c r="AF53" s="39"/>
      <c r="AH53" s="37"/>
      <c r="AI53" s="38"/>
      <c r="AJ53" s="38"/>
      <c r="AK53" s="38"/>
      <c r="AL53" s="38"/>
      <c r="AM53" s="38"/>
      <c r="AN53" s="38"/>
      <c r="AO53" s="38"/>
      <c r="AP53" s="39"/>
    </row>
    <row r="54" spans="4:42" x14ac:dyDescent="0.25">
      <c r="D54" s="37"/>
      <c r="E54" s="38"/>
      <c r="F54" s="38"/>
      <c r="G54" s="38"/>
      <c r="H54" s="38"/>
      <c r="I54" s="38"/>
      <c r="J54" s="38"/>
      <c r="K54" s="38"/>
      <c r="L54" s="63"/>
      <c r="N54" s="37"/>
      <c r="O54" s="38"/>
      <c r="P54" s="38"/>
      <c r="Q54" s="38"/>
      <c r="R54" s="38"/>
      <c r="S54" s="38"/>
      <c r="T54" s="38"/>
      <c r="U54" s="72"/>
      <c r="V54" s="39"/>
      <c r="X54" s="37"/>
      <c r="Y54" s="38"/>
      <c r="Z54" s="38"/>
      <c r="AA54" s="38"/>
      <c r="AB54" s="38"/>
      <c r="AC54" s="38"/>
      <c r="AD54" s="38"/>
      <c r="AE54" s="38"/>
      <c r="AF54" s="39"/>
      <c r="AH54" s="37"/>
      <c r="AI54" s="38"/>
      <c r="AJ54" s="38"/>
      <c r="AK54" s="38"/>
      <c r="AL54" s="38"/>
      <c r="AM54" s="38"/>
      <c r="AN54" s="38"/>
      <c r="AO54" s="38"/>
      <c r="AP54" s="39"/>
    </row>
    <row r="55" spans="4:42" x14ac:dyDescent="0.25">
      <c r="D55" s="37"/>
      <c r="E55" s="38"/>
      <c r="F55" s="38"/>
      <c r="G55" s="38"/>
      <c r="H55" s="38"/>
      <c r="I55" s="38"/>
      <c r="J55" s="38"/>
      <c r="K55" s="38"/>
      <c r="L55" s="39"/>
      <c r="N55" s="37"/>
      <c r="O55" s="38"/>
      <c r="P55" s="38"/>
      <c r="Q55" s="38"/>
      <c r="R55" s="38"/>
      <c r="S55" s="38"/>
      <c r="T55" s="38"/>
      <c r="U55" s="72"/>
      <c r="V55" s="39"/>
      <c r="X55" s="37"/>
      <c r="Y55" s="38"/>
      <c r="Z55" s="38"/>
      <c r="AA55" s="38"/>
      <c r="AB55" s="38"/>
      <c r="AC55" s="38"/>
      <c r="AD55" s="38"/>
      <c r="AE55" s="38"/>
      <c r="AF55" s="39"/>
      <c r="AH55" s="37"/>
      <c r="AI55" s="38"/>
      <c r="AJ55" s="38"/>
      <c r="AK55" s="38"/>
      <c r="AL55" s="38"/>
      <c r="AM55" s="38"/>
      <c r="AN55" s="38"/>
      <c r="AO55" s="38"/>
      <c r="AP55" s="39"/>
    </row>
    <row r="56" spans="4:42" x14ac:dyDescent="0.25">
      <c r="D56" s="37"/>
      <c r="E56" s="38"/>
      <c r="F56" s="38"/>
      <c r="G56" s="38"/>
      <c r="H56" s="38"/>
      <c r="I56" s="38"/>
      <c r="J56" s="38"/>
      <c r="K56" s="38"/>
      <c r="L56" s="39"/>
      <c r="N56" s="37"/>
      <c r="O56" s="38"/>
      <c r="P56" s="38"/>
      <c r="Q56" s="38"/>
      <c r="R56" s="38"/>
      <c r="S56" s="38"/>
      <c r="T56" s="38"/>
      <c r="U56" s="72"/>
      <c r="V56" s="39"/>
      <c r="X56" s="37"/>
      <c r="Y56" s="38"/>
      <c r="Z56" s="38"/>
      <c r="AA56" s="38"/>
      <c r="AB56" s="38"/>
      <c r="AC56" s="38"/>
      <c r="AD56" s="38"/>
      <c r="AE56" s="38"/>
      <c r="AF56" s="39"/>
      <c r="AH56" s="37"/>
      <c r="AI56" s="38"/>
      <c r="AJ56" s="38"/>
      <c r="AK56" s="38"/>
      <c r="AL56" s="38"/>
      <c r="AM56" s="38"/>
      <c r="AN56" s="38"/>
      <c r="AO56" s="72"/>
      <c r="AP56" s="39"/>
    </row>
    <row r="57" spans="4:42" x14ac:dyDescent="0.25">
      <c r="D57" s="37"/>
      <c r="E57" s="38"/>
      <c r="F57" s="38"/>
      <c r="G57" s="38"/>
      <c r="H57" s="38"/>
      <c r="I57" s="38"/>
      <c r="J57" s="38"/>
      <c r="K57" s="38"/>
      <c r="L57" s="39"/>
      <c r="N57" s="37"/>
      <c r="O57" s="38"/>
      <c r="P57" s="38"/>
      <c r="Q57" s="38"/>
      <c r="R57" s="38"/>
      <c r="S57" s="38"/>
      <c r="T57" s="38"/>
      <c r="U57" s="38"/>
      <c r="V57" s="39"/>
      <c r="X57" s="37"/>
      <c r="Y57" s="38"/>
      <c r="Z57" s="38"/>
      <c r="AA57" s="38"/>
      <c r="AB57" s="38"/>
      <c r="AC57" s="38"/>
      <c r="AD57" s="38"/>
      <c r="AE57" s="72"/>
      <c r="AF57" s="39"/>
      <c r="AH57" s="37"/>
      <c r="AI57" s="38"/>
      <c r="AJ57" s="38"/>
      <c r="AK57" s="38"/>
      <c r="AL57" s="38"/>
      <c r="AM57" s="38"/>
      <c r="AN57" s="38"/>
      <c r="AO57" s="72"/>
      <c r="AP57" s="39"/>
    </row>
    <row r="58" spans="4:42" x14ac:dyDescent="0.25">
      <c r="D58" s="37"/>
      <c r="E58" s="38"/>
      <c r="F58" s="38"/>
      <c r="G58" s="38"/>
      <c r="H58" s="38"/>
      <c r="I58" s="38"/>
      <c r="J58" s="38"/>
      <c r="K58" s="38"/>
      <c r="L58" s="39"/>
      <c r="N58" s="37"/>
      <c r="O58" s="38"/>
      <c r="P58" s="38"/>
      <c r="Q58" s="38"/>
      <c r="R58" s="38"/>
      <c r="S58" s="38"/>
      <c r="T58" s="38"/>
      <c r="U58" s="38"/>
      <c r="V58" s="39"/>
      <c r="X58" s="37"/>
      <c r="Y58" s="38"/>
      <c r="Z58" s="38"/>
      <c r="AA58" s="38"/>
      <c r="AB58" s="38"/>
      <c r="AC58" s="38"/>
      <c r="AD58" s="38"/>
      <c r="AE58" s="72"/>
      <c r="AF58" s="39"/>
      <c r="AH58" s="37"/>
      <c r="AI58" s="38"/>
      <c r="AJ58" s="38"/>
      <c r="AK58" s="38"/>
      <c r="AL58" s="38"/>
      <c r="AM58" s="38"/>
      <c r="AN58" s="38"/>
      <c r="AO58" s="38"/>
      <c r="AP58" s="39"/>
    </row>
    <row r="59" spans="4:42" x14ac:dyDescent="0.25">
      <c r="D59" s="37"/>
      <c r="E59" s="38"/>
      <c r="F59" s="38"/>
      <c r="G59" s="38"/>
      <c r="H59" s="38"/>
      <c r="I59" s="38"/>
      <c r="J59" s="38"/>
      <c r="K59" s="38"/>
      <c r="L59" s="39"/>
      <c r="N59" s="37"/>
      <c r="O59" s="38"/>
      <c r="P59" s="38"/>
      <c r="Q59" s="38"/>
      <c r="R59" s="38"/>
      <c r="S59" s="38"/>
      <c r="T59" s="38"/>
      <c r="U59" s="38"/>
      <c r="V59" s="39"/>
      <c r="X59" s="37"/>
      <c r="Y59" s="38"/>
      <c r="Z59" s="38"/>
      <c r="AA59" s="38"/>
      <c r="AB59" s="38"/>
      <c r="AC59" s="38"/>
      <c r="AD59" s="38"/>
      <c r="AE59" s="38"/>
      <c r="AF59" s="39"/>
      <c r="AH59" s="37"/>
      <c r="AI59" s="38"/>
      <c r="AJ59" s="38"/>
      <c r="AK59" s="38"/>
      <c r="AL59" s="38"/>
      <c r="AM59" s="38"/>
      <c r="AN59" s="38"/>
      <c r="AO59" s="38"/>
      <c r="AP59" s="39"/>
    </row>
    <row r="60" spans="4:42" x14ac:dyDescent="0.25">
      <c r="D60" s="37"/>
      <c r="E60" s="38"/>
      <c r="F60" s="38"/>
      <c r="G60" s="38"/>
      <c r="H60" s="38"/>
      <c r="I60" s="38"/>
      <c r="J60" s="38"/>
      <c r="K60" s="38"/>
      <c r="L60" s="39"/>
      <c r="N60" s="37"/>
      <c r="O60" s="38"/>
      <c r="P60" s="38"/>
      <c r="Q60" s="38"/>
      <c r="R60" s="38"/>
      <c r="S60" s="38"/>
      <c r="T60" s="38"/>
      <c r="U60" s="38"/>
      <c r="V60" s="39"/>
      <c r="X60" s="37"/>
      <c r="Y60" s="38"/>
      <c r="Z60" s="38"/>
      <c r="AA60" s="38"/>
      <c r="AB60" s="38"/>
      <c r="AC60" s="38"/>
      <c r="AD60" s="38"/>
      <c r="AE60" s="38"/>
      <c r="AF60" s="39"/>
      <c r="AH60" s="37"/>
      <c r="AI60" s="38"/>
      <c r="AJ60" s="38"/>
      <c r="AK60" s="38"/>
      <c r="AL60" s="38"/>
      <c r="AM60" s="38"/>
      <c r="AN60" s="38"/>
      <c r="AO60" s="38"/>
      <c r="AP60" s="39"/>
    </row>
    <row r="61" spans="4:42" x14ac:dyDescent="0.25">
      <c r="D61" s="37"/>
      <c r="E61" s="38"/>
      <c r="F61" s="38"/>
      <c r="G61" s="38"/>
      <c r="H61" s="38"/>
      <c r="I61" s="38"/>
      <c r="J61" s="38"/>
      <c r="K61" s="38"/>
      <c r="L61" s="39"/>
      <c r="N61" s="37"/>
      <c r="O61" s="38"/>
      <c r="P61" s="38"/>
      <c r="Q61" s="38"/>
      <c r="R61" s="38"/>
      <c r="S61" s="38"/>
      <c r="T61" s="38"/>
      <c r="U61" s="38"/>
      <c r="V61" s="39"/>
      <c r="X61" s="37"/>
      <c r="Y61" s="38"/>
      <c r="Z61" s="38"/>
      <c r="AA61" s="38"/>
      <c r="AB61" s="38"/>
      <c r="AC61" s="38"/>
      <c r="AD61" s="38"/>
      <c r="AE61" s="38"/>
      <c r="AF61" s="39"/>
      <c r="AH61" s="37"/>
      <c r="AI61" s="38"/>
      <c r="AJ61" s="38"/>
      <c r="AK61" s="38"/>
      <c r="AL61" s="38"/>
      <c r="AM61" s="38"/>
      <c r="AN61" s="38"/>
      <c r="AO61" s="38"/>
      <c r="AP61" s="39"/>
    </row>
    <row r="62" spans="4:42" x14ac:dyDescent="0.25">
      <c r="D62" s="37"/>
      <c r="E62" s="38"/>
      <c r="F62" s="38"/>
      <c r="G62" s="38"/>
      <c r="H62" s="38"/>
      <c r="I62" s="38"/>
      <c r="J62" s="38"/>
      <c r="K62" s="38"/>
      <c r="L62" s="39"/>
      <c r="N62" s="37"/>
      <c r="O62" s="38"/>
      <c r="P62" s="38"/>
      <c r="Q62" s="38"/>
      <c r="R62" s="38"/>
      <c r="S62" s="38"/>
      <c r="T62" s="38"/>
      <c r="U62" s="38"/>
      <c r="V62" s="39"/>
      <c r="X62" s="37"/>
      <c r="Y62" s="38"/>
      <c r="Z62" s="38"/>
      <c r="AA62" s="38"/>
      <c r="AB62" s="38"/>
      <c r="AC62" s="38"/>
      <c r="AD62" s="38"/>
      <c r="AE62" s="38"/>
      <c r="AF62" s="39"/>
      <c r="AH62" s="37"/>
      <c r="AI62" s="38"/>
      <c r="AJ62" s="38"/>
      <c r="AK62" s="38"/>
      <c r="AL62" s="38"/>
      <c r="AM62" s="38"/>
      <c r="AN62" s="38"/>
      <c r="AO62" s="38"/>
      <c r="AP62" s="39"/>
    </row>
    <row r="63" spans="4:42" x14ac:dyDescent="0.25">
      <c r="D63" s="37"/>
      <c r="E63" s="38"/>
      <c r="F63" s="38"/>
      <c r="G63" s="38"/>
      <c r="H63" s="38"/>
      <c r="I63" s="38"/>
      <c r="J63" s="38"/>
      <c r="K63" s="38"/>
      <c r="L63" s="39"/>
      <c r="N63" s="37"/>
      <c r="O63" s="38"/>
      <c r="P63" s="38"/>
      <c r="Q63" s="38"/>
      <c r="R63" s="38"/>
      <c r="S63" s="38"/>
      <c r="T63" s="38"/>
      <c r="U63" s="38"/>
      <c r="V63" s="39"/>
      <c r="X63" s="37"/>
      <c r="Y63" s="38"/>
      <c r="Z63" s="38"/>
      <c r="AA63" s="38"/>
      <c r="AB63" s="38"/>
      <c r="AC63" s="38"/>
      <c r="AD63" s="38"/>
      <c r="AE63" s="38"/>
      <c r="AF63" s="39"/>
      <c r="AH63" s="37"/>
      <c r="AI63" s="38"/>
      <c r="AJ63" s="38"/>
      <c r="AK63" s="38"/>
      <c r="AL63" s="38"/>
      <c r="AM63" s="38"/>
      <c r="AN63" s="38"/>
      <c r="AO63" s="38"/>
      <c r="AP63" s="39"/>
    </row>
    <row r="64" spans="4:42" x14ac:dyDescent="0.25">
      <c r="D64" s="37"/>
      <c r="E64" s="38"/>
      <c r="F64" s="38"/>
      <c r="G64" s="38"/>
      <c r="H64" s="38"/>
      <c r="I64" s="38"/>
      <c r="J64" s="38"/>
      <c r="K64" s="38"/>
      <c r="L64" s="39"/>
      <c r="N64" s="37"/>
      <c r="O64" s="38"/>
      <c r="P64" s="38"/>
      <c r="Q64" s="38"/>
      <c r="R64" s="38"/>
      <c r="S64" s="38"/>
      <c r="T64" s="38"/>
      <c r="U64" s="38"/>
      <c r="V64" s="39"/>
      <c r="X64" s="37"/>
      <c r="Y64" s="38"/>
      <c r="Z64" s="38"/>
      <c r="AA64" s="38"/>
      <c r="AB64" s="38"/>
      <c r="AC64" s="38"/>
      <c r="AD64" s="38"/>
      <c r="AE64" s="38"/>
      <c r="AF64" s="39"/>
      <c r="AH64" s="37"/>
      <c r="AI64" s="38"/>
      <c r="AJ64" s="38"/>
      <c r="AK64" s="38"/>
      <c r="AL64" s="38"/>
      <c r="AM64" s="38"/>
      <c r="AN64" s="38"/>
      <c r="AO64" s="38"/>
      <c r="AP64" s="39"/>
    </row>
    <row r="65" spans="4:42" ht="15.75" thickBot="1" x14ac:dyDescent="0.3">
      <c r="D65" s="37"/>
      <c r="E65" s="38"/>
      <c r="F65" s="38"/>
      <c r="G65" s="38"/>
      <c r="H65" s="38"/>
      <c r="I65" s="38"/>
      <c r="J65" s="38"/>
      <c r="K65" s="38"/>
      <c r="L65" s="39"/>
      <c r="N65" s="37"/>
      <c r="O65" s="38"/>
      <c r="P65" s="38"/>
      <c r="Q65" s="38"/>
      <c r="R65" s="38"/>
      <c r="S65" s="38"/>
      <c r="T65" s="38"/>
      <c r="U65" s="38"/>
      <c r="V65" s="39"/>
      <c r="X65" s="37"/>
      <c r="Y65" s="38"/>
      <c r="Z65" s="38"/>
      <c r="AA65" s="38"/>
      <c r="AB65" s="38"/>
      <c r="AC65" s="38"/>
      <c r="AD65" s="38"/>
      <c r="AE65" s="38"/>
      <c r="AF65" s="39"/>
      <c r="AH65" s="37"/>
      <c r="AI65" s="38"/>
      <c r="AJ65" s="38"/>
      <c r="AK65" s="38"/>
      <c r="AL65" s="38"/>
      <c r="AM65" s="38"/>
      <c r="AN65" s="38"/>
      <c r="AO65" s="38"/>
      <c r="AP65" s="39"/>
    </row>
    <row r="66" spans="4:42" x14ac:dyDescent="0.25">
      <c r="D66" s="628" t="s">
        <v>69</v>
      </c>
      <c r="E66" s="629"/>
      <c r="F66" s="629"/>
      <c r="G66" s="629"/>
      <c r="H66" s="629"/>
      <c r="I66" s="629"/>
      <c r="J66" s="629"/>
      <c r="K66" s="629"/>
      <c r="L66" s="630"/>
      <c r="N66" s="628" t="s">
        <v>70</v>
      </c>
      <c r="O66" s="629"/>
      <c r="P66" s="629"/>
      <c r="Q66" s="629"/>
      <c r="R66" s="629"/>
      <c r="S66" s="629"/>
      <c r="T66" s="629"/>
      <c r="U66" s="629"/>
      <c r="V66" s="630"/>
      <c r="X66" s="628" t="s">
        <v>71</v>
      </c>
      <c r="Y66" s="629"/>
      <c r="Z66" s="629"/>
      <c r="AA66" s="629"/>
      <c r="AB66" s="629"/>
      <c r="AC66" s="629"/>
      <c r="AD66" s="629"/>
      <c r="AE66" s="629"/>
      <c r="AF66" s="630"/>
      <c r="AH66" s="628" t="s">
        <v>72</v>
      </c>
      <c r="AI66" s="629"/>
      <c r="AJ66" s="629"/>
      <c r="AK66" s="629"/>
      <c r="AL66" s="629"/>
      <c r="AM66" s="629"/>
      <c r="AN66" s="629"/>
      <c r="AO66" s="629"/>
      <c r="AP66" s="630"/>
    </row>
    <row r="67" spans="4:42" ht="15.75" thickBot="1" x14ac:dyDescent="0.3">
      <c r="D67" s="631"/>
      <c r="E67" s="632"/>
      <c r="F67" s="632"/>
      <c r="G67" s="632"/>
      <c r="H67" s="632"/>
      <c r="I67" s="632"/>
      <c r="J67" s="632"/>
      <c r="K67" s="632"/>
      <c r="L67" s="633"/>
      <c r="N67" s="631"/>
      <c r="O67" s="632"/>
      <c r="P67" s="632"/>
      <c r="Q67" s="632"/>
      <c r="R67" s="632"/>
      <c r="S67" s="632"/>
      <c r="T67" s="632"/>
      <c r="U67" s="632"/>
      <c r="V67" s="633"/>
      <c r="X67" s="631"/>
      <c r="Y67" s="632"/>
      <c r="Z67" s="632"/>
      <c r="AA67" s="632"/>
      <c r="AB67" s="632"/>
      <c r="AC67" s="632"/>
      <c r="AD67" s="632"/>
      <c r="AE67" s="632"/>
      <c r="AF67" s="633"/>
      <c r="AH67" s="631"/>
      <c r="AI67" s="632"/>
      <c r="AJ67" s="632"/>
      <c r="AK67" s="632"/>
      <c r="AL67" s="632"/>
      <c r="AM67" s="632"/>
      <c r="AN67" s="632"/>
      <c r="AO67" s="632"/>
      <c r="AP67" s="633"/>
    </row>
    <row r="68" spans="4:42" x14ac:dyDescent="0.25">
      <c r="D68" s="614" t="s">
        <v>109</v>
      </c>
      <c r="E68" s="615"/>
      <c r="F68" s="618" t="s">
        <v>118</v>
      </c>
      <c r="G68" s="619"/>
      <c r="H68" s="622" t="s">
        <v>119</v>
      </c>
      <c r="I68" s="619"/>
      <c r="J68" s="624" t="s">
        <v>40</v>
      </c>
      <c r="K68" s="624" t="s">
        <v>120</v>
      </c>
      <c r="L68" s="624" t="s">
        <v>121</v>
      </c>
      <c r="N68" s="614" t="s">
        <v>109</v>
      </c>
      <c r="O68" s="615"/>
      <c r="P68" s="618" t="s">
        <v>118</v>
      </c>
      <c r="Q68" s="619"/>
      <c r="R68" s="622" t="s">
        <v>119</v>
      </c>
      <c r="S68" s="619"/>
      <c r="T68" s="624" t="s">
        <v>40</v>
      </c>
      <c r="U68" s="624" t="s">
        <v>120</v>
      </c>
      <c r="V68" s="624" t="s">
        <v>121</v>
      </c>
      <c r="X68" s="614" t="s">
        <v>109</v>
      </c>
      <c r="Y68" s="615"/>
      <c r="Z68" s="618" t="s">
        <v>118</v>
      </c>
      <c r="AA68" s="619"/>
      <c r="AB68" s="622" t="s">
        <v>119</v>
      </c>
      <c r="AC68" s="619"/>
      <c r="AD68" s="624" t="s">
        <v>40</v>
      </c>
      <c r="AE68" s="624" t="s">
        <v>120</v>
      </c>
      <c r="AF68" s="624" t="s">
        <v>121</v>
      </c>
      <c r="AH68" s="614" t="s">
        <v>109</v>
      </c>
      <c r="AI68" s="615"/>
      <c r="AJ68" s="618" t="s">
        <v>118</v>
      </c>
      <c r="AK68" s="619"/>
      <c r="AL68" s="622" t="s">
        <v>119</v>
      </c>
      <c r="AM68" s="619"/>
      <c r="AN68" s="624" t="s">
        <v>40</v>
      </c>
      <c r="AO68" s="624" t="s">
        <v>120</v>
      </c>
      <c r="AP68" s="624" t="s">
        <v>121</v>
      </c>
    </row>
    <row r="69" spans="4:42" ht="15.75" thickBot="1" x14ac:dyDescent="0.3">
      <c r="D69" s="616"/>
      <c r="E69" s="617"/>
      <c r="F69" s="620"/>
      <c r="G69" s="621"/>
      <c r="H69" s="623"/>
      <c r="I69" s="621"/>
      <c r="J69" s="625"/>
      <c r="K69" s="625"/>
      <c r="L69" s="625"/>
      <c r="N69" s="616"/>
      <c r="O69" s="617"/>
      <c r="P69" s="620"/>
      <c r="Q69" s="621"/>
      <c r="R69" s="623"/>
      <c r="S69" s="621"/>
      <c r="T69" s="625"/>
      <c r="U69" s="625"/>
      <c r="V69" s="625"/>
      <c r="X69" s="616"/>
      <c r="Y69" s="617"/>
      <c r="Z69" s="620"/>
      <c r="AA69" s="621"/>
      <c r="AB69" s="623"/>
      <c r="AC69" s="621"/>
      <c r="AD69" s="625"/>
      <c r="AE69" s="625"/>
      <c r="AF69" s="625"/>
      <c r="AH69" s="616"/>
      <c r="AI69" s="617"/>
      <c r="AJ69" s="620"/>
      <c r="AK69" s="621"/>
      <c r="AL69" s="623"/>
      <c r="AM69" s="621"/>
      <c r="AN69" s="625"/>
      <c r="AO69" s="625"/>
      <c r="AP69" s="625"/>
    </row>
    <row r="70" spans="4:42" x14ac:dyDescent="0.25">
      <c r="D70" s="581" t="s">
        <v>122</v>
      </c>
      <c r="E70" s="610"/>
      <c r="F70" s="606" t="s">
        <v>127</v>
      </c>
      <c r="G70" s="607"/>
      <c r="H70" s="608">
        <v>6</v>
      </c>
      <c r="I70" s="609"/>
      <c r="J70" s="74" t="s">
        <v>124</v>
      </c>
      <c r="K70" s="626">
        <v>1.125E-2</v>
      </c>
      <c r="L70" s="76">
        <f>176*6*0.01125</f>
        <v>11.879999999999999</v>
      </c>
      <c r="N70" s="581" t="s">
        <v>122</v>
      </c>
      <c r="O70" s="610"/>
      <c r="P70" s="606" t="s">
        <v>135</v>
      </c>
      <c r="Q70" s="607"/>
      <c r="R70" s="608">
        <v>2</v>
      </c>
      <c r="S70" s="650"/>
      <c r="T70" s="66" t="s">
        <v>124</v>
      </c>
      <c r="U70" s="626">
        <v>1.125E-2</v>
      </c>
      <c r="V70" s="76">
        <f>100*2*0.01125</f>
        <v>2.25</v>
      </c>
      <c r="X70" s="581" t="s">
        <v>122</v>
      </c>
      <c r="Y70" s="610"/>
      <c r="Z70" s="606" t="s">
        <v>142</v>
      </c>
      <c r="AA70" s="607"/>
      <c r="AB70" s="608">
        <v>6</v>
      </c>
      <c r="AC70" s="609"/>
      <c r="AD70" s="74" t="s">
        <v>124</v>
      </c>
      <c r="AE70" s="626">
        <v>1.125E-2</v>
      </c>
      <c r="AF70" s="76">
        <f>115*6*0.01125</f>
        <v>7.7624999999999993</v>
      </c>
      <c r="AH70" s="581" t="s">
        <v>122</v>
      </c>
      <c r="AI70" s="610"/>
      <c r="AJ70" s="606" t="s">
        <v>135</v>
      </c>
      <c r="AK70" s="607"/>
      <c r="AL70" s="608">
        <v>2</v>
      </c>
      <c r="AM70" s="609"/>
      <c r="AN70" s="74" t="s">
        <v>124</v>
      </c>
      <c r="AO70" s="626">
        <v>1.125E-2</v>
      </c>
      <c r="AP70" s="76">
        <f>100*2*0.01125</f>
        <v>2.25</v>
      </c>
    </row>
    <row r="71" spans="4:42" x14ac:dyDescent="0.25">
      <c r="D71" s="583"/>
      <c r="E71" s="611"/>
      <c r="F71" s="575" t="s">
        <v>143</v>
      </c>
      <c r="G71" s="576"/>
      <c r="H71" s="598">
        <v>8</v>
      </c>
      <c r="I71" s="599"/>
      <c r="J71" s="74" t="s">
        <v>124</v>
      </c>
      <c r="K71" s="627"/>
      <c r="L71" s="76">
        <f>96*8*0.01125</f>
        <v>8.64</v>
      </c>
      <c r="N71" s="583"/>
      <c r="O71" s="611"/>
      <c r="P71" s="575" t="s">
        <v>136</v>
      </c>
      <c r="Q71" s="576"/>
      <c r="R71" s="598">
        <v>6</v>
      </c>
      <c r="S71" s="649"/>
      <c r="T71" s="67" t="s">
        <v>124</v>
      </c>
      <c r="U71" s="627"/>
      <c r="V71" s="76">
        <f>63.5*6*0.01125</f>
        <v>4.2862499999999999</v>
      </c>
      <c r="X71" s="583"/>
      <c r="Y71" s="611"/>
      <c r="Z71" s="575" t="s">
        <v>143</v>
      </c>
      <c r="AA71" s="576"/>
      <c r="AB71" s="598">
        <v>4</v>
      </c>
      <c r="AC71" s="599"/>
      <c r="AD71" s="74" t="s">
        <v>124</v>
      </c>
      <c r="AE71" s="627"/>
      <c r="AF71" s="76">
        <f>96*4*0.01125</f>
        <v>4.32</v>
      </c>
      <c r="AH71" s="583"/>
      <c r="AI71" s="611"/>
      <c r="AJ71" s="575" t="s">
        <v>175</v>
      </c>
      <c r="AK71" s="576"/>
      <c r="AL71" s="598">
        <v>3</v>
      </c>
      <c r="AM71" s="599"/>
      <c r="AN71" s="74" t="s">
        <v>124</v>
      </c>
      <c r="AO71" s="627"/>
      <c r="AP71" s="76">
        <f>151*3*0.01125</f>
        <v>5.0962499999999995</v>
      </c>
    </row>
    <row r="72" spans="4:42" x14ac:dyDescent="0.25">
      <c r="D72" s="583"/>
      <c r="E72" s="611"/>
      <c r="F72" s="575" t="s">
        <v>172</v>
      </c>
      <c r="G72" s="576"/>
      <c r="H72" s="598">
        <v>4</v>
      </c>
      <c r="I72" s="599"/>
      <c r="J72" s="74" t="s">
        <v>124</v>
      </c>
      <c r="K72" s="627"/>
      <c r="L72" s="76">
        <f>200*4*0.01125</f>
        <v>9</v>
      </c>
      <c r="N72" s="583"/>
      <c r="O72" s="611"/>
      <c r="P72" s="575" t="s">
        <v>137</v>
      </c>
      <c r="Q72" s="576"/>
      <c r="R72" s="598">
        <v>2</v>
      </c>
      <c r="S72" s="649"/>
      <c r="T72" s="67" t="s">
        <v>124</v>
      </c>
      <c r="U72" s="627"/>
      <c r="V72" s="76">
        <f>42*2*0.01125</f>
        <v>0.94499999999999995</v>
      </c>
      <c r="X72" s="583"/>
      <c r="Y72" s="611"/>
      <c r="Z72" s="575" t="s">
        <v>144</v>
      </c>
      <c r="AA72" s="576"/>
      <c r="AB72" s="598">
        <v>6</v>
      </c>
      <c r="AC72" s="599"/>
      <c r="AD72" s="74" t="s">
        <v>124</v>
      </c>
      <c r="AE72" s="627"/>
      <c r="AF72" s="76">
        <f>60*6*0.01125</f>
        <v>4.05</v>
      </c>
      <c r="AH72" s="583"/>
      <c r="AI72" s="611"/>
      <c r="AJ72" s="575" t="s">
        <v>126</v>
      </c>
      <c r="AK72" s="576"/>
      <c r="AL72" s="598">
        <v>18</v>
      </c>
      <c r="AM72" s="599"/>
      <c r="AN72" s="74" t="s">
        <v>124</v>
      </c>
      <c r="AO72" s="627"/>
      <c r="AP72" s="76">
        <f>40*18*0.01125</f>
        <v>8.1</v>
      </c>
    </row>
    <row r="73" spans="4:42" x14ac:dyDescent="0.25">
      <c r="D73" s="583"/>
      <c r="E73" s="611"/>
      <c r="F73" s="575" t="s">
        <v>173</v>
      </c>
      <c r="G73" s="576"/>
      <c r="H73" s="598">
        <v>15</v>
      </c>
      <c r="I73" s="599"/>
      <c r="J73" s="74" t="s">
        <v>124</v>
      </c>
      <c r="K73" s="627"/>
      <c r="L73" s="76">
        <f>70*15*0.01125</f>
        <v>11.8125</v>
      </c>
      <c r="N73" s="583"/>
      <c r="O73" s="611"/>
      <c r="P73" s="575" t="s">
        <v>125</v>
      </c>
      <c r="Q73" s="576"/>
      <c r="R73" s="598">
        <v>2</v>
      </c>
      <c r="S73" s="649"/>
      <c r="T73" s="67" t="s">
        <v>124</v>
      </c>
      <c r="U73" s="627"/>
      <c r="V73" s="76">
        <f>30*2*0.01125</f>
        <v>0.67499999999999993</v>
      </c>
      <c r="X73" s="583"/>
      <c r="Y73" s="611"/>
      <c r="Z73" s="575" t="s">
        <v>145</v>
      </c>
      <c r="AA73" s="576"/>
      <c r="AB73" s="598">
        <v>8</v>
      </c>
      <c r="AC73" s="599"/>
      <c r="AD73" s="74" t="s">
        <v>124</v>
      </c>
      <c r="AE73" s="627"/>
      <c r="AF73" s="76">
        <f>39*8*0.01125</f>
        <v>3.51</v>
      </c>
      <c r="AH73" s="583"/>
      <c r="AI73" s="611"/>
      <c r="AJ73" s="575" t="s">
        <v>123</v>
      </c>
      <c r="AK73" s="576"/>
      <c r="AL73" s="598">
        <v>2</v>
      </c>
      <c r="AM73" s="599"/>
      <c r="AN73" s="74" t="s">
        <v>124</v>
      </c>
      <c r="AO73" s="627"/>
      <c r="AP73" s="76">
        <f>8*2*0.01125</f>
        <v>0.18</v>
      </c>
    </row>
    <row r="74" spans="4:42" x14ac:dyDescent="0.25">
      <c r="D74" s="583"/>
      <c r="E74" s="611"/>
      <c r="F74" s="575"/>
      <c r="G74" s="576"/>
      <c r="H74" s="598"/>
      <c r="I74" s="599"/>
      <c r="J74" s="74"/>
      <c r="K74" s="78"/>
      <c r="L74" s="76"/>
      <c r="N74" s="583"/>
      <c r="O74" s="611"/>
      <c r="P74" s="575" t="s">
        <v>138</v>
      </c>
      <c r="Q74" s="576"/>
      <c r="R74" s="598">
        <v>2</v>
      </c>
      <c r="S74" s="649"/>
      <c r="T74" s="67" t="s">
        <v>124</v>
      </c>
      <c r="U74" s="627"/>
      <c r="V74" s="76">
        <f>45*2*0.01125</f>
        <v>1.0125</v>
      </c>
      <c r="X74" s="583"/>
      <c r="Y74" s="611"/>
      <c r="Z74" s="575"/>
      <c r="AA74" s="576"/>
      <c r="AB74" s="598"/>
      <c r="AC74" s="599"/>
      <c r="AD74" s="74"/>
      <c r="AE74" s="78"/>
      <c r="AF74" s="76"/>
      <c r="AH74" s="583"/>
      <c r="AI74" s="611"/>
      <c r="AJ74" s="575" t="s">
        <v>176</v>
      </c>
      <c r="AK74" s="576"/>
      <c r="AL74" s="598">
        <v>2</v>
      </c>
      <c r="AM74" s="599"/>
      <c r="AN74" s="74" t="s">
        <v>124</v>
      </c>
      <c r="AO74" s="627"/>
      <c r="AP74" s="76">
        <f>6*2*0.01125</f>
        <v>0.13500000000000001</v>
      </c>
    </row>
    <row r="75" spans="4:42" ht="15.75" thickBot="1" x14ac:dyDescent="0.3">
      <c r="D75" s="583"/>
      <c r="E75" s="611"/>
      <c r="F75" s="575"/>
      <c r="G75" s="576"/>
      <c r="H75" s="598"/>
      <c r="I75" s="599"/>
      <c r="J75" s="74"/>
      <c r="K75" s="78"/>
      <c r="L75" s="76"/>
      <c r="N75" s="583"/>
      <c r="O75" s="611"/>
      <c r="P75" s="652" t="s">
        <v>139</v>
      </c>
      <c r="Q75" s="653"/>
      <c r="R75" s="604">
        <v>12</v>
      </c>
      <c r="S75" s="651"/>
      <c r="T75" s="68" t="s">
        <v>124</v>
      </c>
      <c r="U75" s="689"/>
      <c r="V75" s="76">
        <f>46*12*0.01125</f>
        <v>6.21</v>
      </c>
      <c r="X75" s="583"/>
      <c r="Y75" s="611"/>
      <c r="Z75" s="575"/>
      <c r="AA75" s="576"/>
      <c r="AB75" s="598"/>
      <c r="AC75" s="599"/>
      <c r="AD75" s="74"/>
      <c r="AE75" s="78"/>
      <c r="AF75" s="76"/>
      <c r="AH75" s="583"/>
      <c r="AI75" s="611"/>
      <c r="AJ75" s="575"/>
      <c r="AK75" s="576"/>
      <c r="AL75" s="598"/>
      <c r="AM75" s="599"/>
      <c r="AN75" s="74"/>
      <c r="AO75" s="78"/>
      <c r="AP75" s="76"/>
    </row>
    <row r="76" spans="4:42" x14ac:dyDescent="0.25">
      <c r="D76" s="583"/>
      <c r="E76" s="611"/>
      <c r="F76" s="575"/>
      <c r="G76" s="576"/>
      <c r="H76" s="598"/>
      <c r="I76" s="599"/>
      <c r="J76" s="74"/>
      <c r="K76" s="78"/>
      <c r="L76" s="76"/>
      <c r="N76" s="581" t="s">
        <v>129</v>
      </c>
      <c r="O76" s="610"/>
      <c r="P76" s="577" t="s">
        <v>43</v>
      </c>
      <c r="Q76" s="585"/>
      <c r="R76" s="608">
        <v>23</v>
      </c>
      <c r="S76" s="650"/>
      <c r="T76" s="66" t="s">
        <v>124</v>
      </c>
      <c r="U76" s="73">
        <v>0.46</v>
      </c>
      <c r="V76" s="41">
        <f>R76*U76</f>
        <v>10.58</v>
      </c>
      <c r="X76" s="583"/>
      <c r="Y76" s="611"/>
      <c r="Z76" s="575"/>
      <c r="AA76" s="576"/>
      <c r="AB76" s="598"/>
      <c r="AC76" s="599"/>
      <c r="AD76" s="74"/>
      <c r="AE76" s="78"/>
      <c r="AF76" s="76"/>
      <c r="AH76" s="583"/>
      <c r="AI76" s="611"/>
      <c r="AJ76" s="575"/>
      <c r="AK76" s="576"/>
      <c r="AL76" s="598"/>
      <c r="AM76" s="599"/>
      <c r="AN76" s="74"/>
      <c r="AO76" s="78"/>
      <c r="AP76" s="76"/>
    </row>
    <row r="77" spans="4:42" ht="15.75" thickBot="1" x14ac:dyDescent="0.3">
      <c r="D77" s="583"/>
      <c r="E77" s="611"/>
      <c r="F77" s="571"/>
      <c r="G77" s="572"/>
      <c r="H77" s="604"/>
      <c r="I77" s="605"/>
      <c r="J77" s="74"/>
      <c r="K77" s="79"/>
      <c r="L77" s="76"/>
      <c r="N77" s="583"/>
      <c r="O77" s="611"/>
      <c r="P77" s="588" t="s">
        <v>44</v>
      </c>
      <c r="Q77" s="602"/>
      <c r="R77" s="598">
        <v>18</v>
      </c>
      <c r="S77" s="649"/>
      <c r="T77" s="67" t="s">
        <v>124</v>
      </c>
      <c r="U77" s="74">
        <v>0.45</v>
      </c>
      <c r="V77" s="53">
        <f>R77*U77</f>
        <v>8.1</v>
      </c>
      <c r="X77" s="583"/>
      <c r="Y77" s="611"/>
      <c r="Z77" s="571"/>
      <c r="AA77" s="572"/>
      <c r="AB77" s="604"/>
      <c r="AC77" s="605"/>
      <c r="AD77" s="74"/>
      <c r="AE77" s="79"/>
      <c r="AF77" s="76"/>
      <c r="AH77" s="583"/>
      <c r="AI77" s="611"/>
      <c r="AJ77" s="571"/>
      <c r="AK77" s="572"/>
      <c r="AL77" s="604"/>
      <c r="AM77" s="605"/>
      <c r="AN77" s="74"/>
      <c r="AO77" s="79"/>
      <c r="AP77" s="76"/>
    </row>
    <row r="78" spans="4:42" ht="15.75" thickBot="1" x14ac:dyDescent="0.3">
      <c r="D78" s="581" t="s">
        <v>129</v>
      </c>
      <c r="E78" s="582"/>
      <c r="F78" s="577" t="s">
        <v>42</v>
      </c>
      <c r="G78" s="585"/>
      <c r="H78" s="586">
        <v>28</v>
      </c>
      <c r="I78" s="587"/>
      <c r="J78" s="54" t="s">
        <v>112</v>
      </c>
      <c r="K78" s="45">
        <v>0.68</v>
      </c>
      <c r="L78" s="41">
        <f t="shared" ref="L78:L84" si="3">H78*K78</f>
        <v>19.040000000000003</v>
      </c>
      <c r="N78" s="690"/>
      <c r="O78" s="691"/>
      <c r="P78" s="645" t="s">
        <v>134</v>
      </c>
      <c r="Q78" s="646"/>
      <c r="R78" s="647">
        <v>2</v>
      </c>
      <c r="S78" s="648"/>
      <c r="T78" s="61" t="s">
        <v>112</v>
      </c>
      <c r="U78" s="69">
        <v>1.06</v>
      </c>
      <c r="V78" s="71">
        <f>R78*U78</f>
        <v>2.12</v>
      </c>
      <c r="X78" s="581" t="s">
        <v>129</v>
      </c>
      <c r="Y78" s="582"/>
      <c r="Z78" s="577" t="s">
        <v>42</v>
      </c>
      <c r="AA78" s="585"/>
      <c r="AB78" s="586">
        <v>4</v>
      </c>
      <c r="AC78" s="587"/>
      <c r="AD78" s="54" t="s">
        <v>112</v>
      </c>
      <c r="AE78" s="45">
        <v>0.68</v>
      </c>
      <c r="AF78" s="41">
        <f>AB78*AE78</f>
        <v>2.72</v>
      </c>
      <c r="AH78" s="581" t="s">
        <v>129</v>
      </c>
      <c r="AI78" s="582"/>
      <c r="AJ78" s="577" t="s">
        <v>42</v>
      </c>
      <c r="AK78" s="585"/>
      <c r="AL78" s="586">
        <v>4</v>
      </c>
      <c r="AM78" s="587"/>
      <c r="AN78" s="54" t="s">
        <v>112</v>
      </c>
      <c r="AO78" s="45">
        <v>0.68</v>
      </c>
      <c r="AP78" s="41">
        <f>AL78*AO78</f>
        <v>2.72</v>
      </c>
    </row>
    <row r="79" spans="4:42" x14ac:dyDescent="0.25">
      <c r="D79" s="583"/>
      <c r="E79" s="584"/>
      <c r="F79" s="588" t="s">
        <v>43</v>
      </c>
      <c r="G79" s="602"/>
      <c r="H79" s="603">
        <v>14</v>
      </c>
      <c r="I79" s="567"/>
      <c r="J79" s="57" t="s">
        <v>124</v>
      </c>
      <c r="K79" s="53">
        <v>0.46</v>
      </c>
      <c r="L79" s="53">
        <f t="shared" si="3"/>
        <v>6.44</v>
      </c>
      <c r="N79" s="643" t="s">
        <v>51</v>
      </c>
      <c r="O79" s="644"/>
      <c r="P79" s="643" t="s">
        <v>171</v>
      </c>
      <c r="Q79" s="644"/>
      <c r="R79" s="639">
        <v>6</v>
      </c>
      <c r="S79" s="640"/>
      <c r="T79" s="64" t="s">
        <v>124</v>
      </c>
      <c r="U79" s="65">
        <v>1.35</v>
      </c>
      <c r="V79" s="45">
        <f t="shared" ref="V79:V83" si="4">R79*U79</f>
        <v>8.1000000000000014</v>
      </c>
      <c r="X79" s="583"/>
      <c r="Y79" s="584"/>
      <c r="Z79" s="588" t="s">
        <v>43</v>
      </c>
      <c r="AA79" s="602"/>
      <c r="AB79" s="603">
        <v>12</v>
      </c>
      <c r="AC79" s="567"/>
      <c r="AD79" s="57" t="s">
        <v>124</v>
      </c>
      <c r="AE79" s="53">
        <v>0.46</v>
      </c>
      <c r="AF79" s="53">
        <f>AB79*AE79</f>
        <v>5.5200000000000005</v>
      </c>
      <c r="AH79" s="583"/>
      <c r="AI79" s="584"/>
      <c r="AJ79" s="588" t="s">
        <v>43</v>
      </c>
      <c r="AK79" s="602"/>
      <c r="AL79" s="603">
        <v>15</v>
      </c>
      <c r="AM79" s="567"/>
      <c r="AN79" s="57" t="s">
        <v>124</v>
      </c>
      <c r="AO79" s="53">
        <v>0.46</v>
      </c>
      <c r="AP79" s="53">
        <f>AL79*AO79</f>
        <v>6.9</v>
      </c>
    </row>
    <row r="80" spans="4:42" x14ac:dyDescent="0.25">
      <c r="D80" s="583"/>
      <c r="E80" s="584"/>
      <c r="F80" s="595" t="s">
        <v>44</v>
      </c>
      <c r="G80" s="596"/>
      <c r="H80" s="566">
        <v>14</v>
      </c>
      <c r="I80" s="567"/>
      <c r="J80" s="58" t="s">
        <v>124</v>
      </c>
      <c r="K80" s="56">
        <v>0.45</v>
      </c>
      <c r="L80" s="56">
        <f t="shared" si="3"/>
        <v>6.3</v>
      </c>
      <c r="N80" s="588" t="s">
        <v>130</v>
      </c>
      <c r="O80" s="602"/>
      <c r="P80" s="588" t="s">
        <v>46</v>
      </c>
      <c r="Q80" s="602"/>
      <c r="R80" s="641">
        <v>50</v>
      </c>
      <c r="S80" s="597"/>
      <c r="T80" s="57" t="s">
        <v>112</v>
      </c>
      <c r="U80" s="70">
        <v>7.0000000000000007E-2</v>
      </c>
      <c r="V80" s="53">
        <f t="shared" si="4"/>
        <v>3.5000000000000004</v>
      </c>
      <c r="X80" s="583"/>
      <c r="Y80" s="584"/>
      <c r="Z80" s="588" t="s">
        <v>44</v>
      </c>
      <c r="AA80" s="602"/>
      <c r="AB80" s="566">
        <v>12</v>
      </c>
      <c r="AC80" s="567"/>
      <c r="AD80" s="58" t="s">
        <v>124</v>
      </c>
      <c r="AE80" s="56">
        <v>0.45</v>
      </c>
      <c r="AF80" s="56">
        <f>AB80*AE80</f>
        <v>5.4</v>
      </c>
      <c r="AH80" s="583"/>
      <c r="AI80" s="584"/>
      <c r="AJ80" s="588" t="s">
        <v>44</v>
      </c>
      <c r="AK80" s="602"/>
      <c r="AL80" s="566">
        <v>11</v>
      </c>
      <c r="AM80" s="567"/>
      <c r="AN80" s="58" t="s">
        <v>124</v>
      </c>
      <c r="AO80" s="56">
        <v>0.45</v>
      </c>
      <c r="AP80" s="56">
        <f>AL80*AO80</f>
        <v>4.95</v>
      </c>
    </row>
    <row r="81" spans="4:42" ht="15.75" thickBot="1" x14ac:dyDescent="0.3">
      <c r="D81" s="583"/>
      <c r="E81" s="584"/>
      <c r="F81" s="595" t="s">
        <v>134</v>
      </c>
      <c r="G81" s="596"/>
      <c r="H81" s="593">
        <v>4</v>
      </c>
      <c r="I81" s="594"/>
      <c r="J81" s="58" t="s">
        <v>112</v>
      </c>
      <c r="K81" s="56">
        <v>1.06</v>
      </c>
      <c r="L81" s="56">
        <f t="shared" si="3"/>
        <v>4.24</v>
      </c>
      <c r="N81" s="588" t="s">
        <v>153</v>
      </c>
      <c r="O81" s="602"/>
      <c r="P81" s="588" t="s">
        <v>154</v>
      </c>
      <c r="Q81" s="602"/>
      <c r="R81" s="641">
        <v>20</v>
      </c>
      <c r="S81" s="597"/>
      <c r="T81" s="57" t="s">
        <v>124</v>
      </c>
      <c r="U81" s="70">
        <v>1.4999999999999999E-2</v>
      </c>
      <c r="V81" s="53">
        <f t="shared" si="4"/>
        <v>0.3</v>
      </c>
      <c r="X81" s="583"/>
      <c r="Y81" s="584"/>
      <c r="Z81" s="595"/>
      <c r="AA81" s="596"/>
      <c r="AB81" s="593"/>
      <c r="AC81" s="594"/>
      <c r="AD81" s="58"/>
      <c r="AE81" s="56"/>
      <c r="AF81" s="56"/>
      <c r="AH81" s="583"/>
      <c r="AI81" s="584"/>
      <c r="AJ81" s="595" t="s">
        <v>146</v>
      </c>
      <c r="AK81" s="596"/>
      <c r="AL81" s="593">
        <v>6</v>
      </c>
      <c r="AM81" s="594"/>
      <c r="AN81" s="58" t="s">
        <v>112</v>
      </c>
      <c r="AO81" s="56">
        <v>1.1100000000000001</v>
      </c>
      <c r="AP81" s="56">
        <f>AL81*AO81</f>
        <v>6.66</v>
      </c>
    </row>
    <row r="82" spans="4:42" x14ac:dyDescent="0.25">
      <c r="D82" s="577" t="s">
        <v>51</v>
      </c>
      <c r="E82" s="578"/>
      <c r="F82" s="577" t="s">
        <v>171</v>
      </c>
      <c r="G82" s="578"/>
      <c r="H82" s="579">
        <v>6</v>
      </c>
      <c r="I82" s="590"/>
      <c r="J82" s="54" t="s">
        <v>124</v>
      </c>
      <c r="K82" s="59">
        <v>1.35</v>
      </c>
      <c r="L82" s="41">
        <f t="shared" si="3"/>
        <v>8.1000000000000014</v>
      </c>
      <c r="N82" s="643" t="s">
        <v>47</v>
      </c>
      <c r="O82" s="644"/>
      <c r="P82" s="575" t="s">
        <v>48</v>
      </c>
      <c r="Q82" s="576"/>
      <c r="R82" s="639">
        <v>2</v>
      </c>
      <c r="S82" s="640"/>
      <c r="T82" s="64" t="s">
        <v>124</v>
      </c>
      <c r="U82" s="65">
        <v>7.0000000000000007E-2</v>
      </c>
      <c r="V82" s="45">
        <f t="shared" si="4"/>
        <v>0.14000000000000001</v>
      </c>
      <c r="X82" s="577" t="s">
        <v>51</v>
      </c>
      <c r="Y82" s="578"/>
      <c r="Z82" s="577" t="s">
        <v>171</v>
      </c>
      <c r="AA82" s="578"/>
      <c r="AB82" s="579">
        <v>4</v>
      </c>
      <c r="AC82" s="590"/>
      <c r="AD82" s="54" t="s">
        <v>124</v>
      </c>
      <c r="AE82" s="59">
        <v>1.35</v>
      </c>
      <c r="AF82" s="41">
        <f t="shared" ref="AF82:AF85" si="5">AB82*AE82</f>
        <v>5.4</v>
      </c>
      <c r="AH82" s="577" t="s">
        <v>51</v>
      </c>
      <c r="AI82" s="585"/>
      <c r="AJ82" s="642" t="s">
        <v>171</v>
      </c>
      <c r="AK82" s="578"/>
      <c r="AL82" s="579">
        <v>4</v>
      </c>
      <c r="AM82" s="590"/>
      <c r="AN82" s="54" t="s">
        <v>124</v>
      </c>
      <c r="AO82" s="59">
        <v>1.35</v>
      </c>
      <c r="AP82" s="41">
        <f t="shared" ref="AP82:AP83" si="6">AL82*AO82</f>
        <v>5.4</v>
      </c>
    </row>
    <row r="83" spans="4:42" x14ac:dyDescent="0.25">
      <c r="D83" s="588" t="s">
        <v>130</v>
      </c>
      <c r="E83" s="589"/>
      <c r="F83" s="588" t="s">
        <v>46</v>
      </c>
      <c r="G83" s="589"/>
      <c r="H83" s="591">
        <v>40</v>
      </c>
      <c r="I83" s="592"/>
      <c r="J83" s="57" t="s">
        <v>112</v>
      </c>
      <c r="K83" s="55">
        <v>7.0000000000000007E-2</v>
      </c>
      <c r="L83" s="53">
        <f t="shared" si="3"/>
        <v>2.8000000000000003</v>
      </c>
      <c r="N83" s="588" t="s">
        <v>140</v>
      </c>
      <c r="O83" s="602"/>
      <c r="P83" s="575" t="s">
        <v>177</v>
      </c>
      <c r="Q83" s="576"/>
      <c r="R83" s="641">
        <v>8</v>
      </c>
      <c r="S83" s="597"/>
      <c r="T83" s="57" t="s">
        <v>112</v>
      </c>
      <c r="U83" s="55">
        <v>0.16</v>
      </c>
      <c r="V83" s="53">
        <f t="shared" si="4"/>
        <v>1.28</v>
      </c>
      <c r="X83" s="588" t="s">
        <v>130</v>
      </c>
      <c r="Y83" s="589"/>
      <c r="Z83" s="588" t="s">
        <v>46</v>
      </c>
      <c r="AA83" s="589"/>
      <c r="AB83" s="591">
        <v>50</v>
      </c>
      <c r="AC83" s="592"/>
      <c r="AD83" s="57" t="s">
        <v>112</v>
      </c>
      <c r="AE83" s="55">
        <v>7.0000000000000007E-2</v>
      </c>
      <c r="AF83" s="53">
        <f t="shared" si="5"/>
        <v>3.5000000000000004</v>
      </c>
      <c r="AH83" s="588" t="s">
        <v>130</v>
      </c>
      <c r="AI83" s="602"/>
      <c r="AJ83" s="638" t="s">
        <v>46</v>
      </c>
      <c r="AK83" s="589"/>
      <c r="AL83" s="591">
        <v>60</v>
      </c>
      <c r="AM83" s="592"/>
      <c r="AN83" s="57" t="s">
        <v>112</v>
      </c>
      <c r="AO83" s="55">
        <v>7.0000000000000007E-2</v>
      </c>
      <c r="AP83" s="53">
        <f t="shared" si="6"/>
        <v>4.2</v>
      </c>
    </row>
    <row r="84" spans="4:42" x14ac:dyDescent="0.25">
      <c r="D84" s="575" t="s">
        <v>148</v>
      </c>
      <c r="E84" s="576"/>
      <c r="F84" s="575" t="s">
        <v>154</v>
      </c>
      <c r="G84" s="576"/>
      <c r="H84" s="566">
        <v>60</v>
      </c>
      <c r="I84" s="567"/>
      <c r="J84" s="57" t="s">
        <v>124</v>
      </c>
      <c r="K84" s="55">
        <v>1.4999999999999999E-2</v>
      </c>
      <c r="L84" s="53">
        <f t="shared" si="3"/>
        <v>0.89999999999999991</v>
      </c>
      <c r="N84" s="575" t="s">
        <v>150</v>
      </c>
      <c r="O84" s="576"/>
      <c r="P84" s="575" t="s">
        <v>156</v>
      </c>
      <c r="Q84" s="576"/>
      <c r="R84" s="603">
        <v>1</v>
      </c>
      <c r="S84" s="603"/>
      <c r="T84" s="57" t="s">
        <v>124</v>
      </c>
      <c r="U84" s="55">
        <v>1.1000000000000001E-3</v>
      </c>
      <c r="V84" s="53">
        <f>59*118*R84*U84</f>
        <v>7.6582000000000008</v>
      </c>
      <c r="X84" s="575" t="s">
        <v>148</v>
      </c>
      <c r="Y84" s="576"/>
      <c r="Z84" s="575" t="s">
        <v>154</v>
      </c>
      <c r="AA84" s="576"/>
      <c r="AB84" s="566">
        <v>25</v>
      </c>
      <c r="AC84" s="567"/>
      <c r="AD84" s="57" t="s">
        <v>124</v>
      </c>
      <c r="AE84" s="55">
        <v>1.4999999999999999E-2</v>
      </c>
      <c r="AF84" s="53">
        <f t="shared" si="5"/>
        <v>0.375</v>
      </c>
      <c r="AH84" s="588" t="s">
        <v>148</v>
      </c>
      <c r="AI84" s="602"/>
      <c r="AJ84" s="636" t="s">
        <v>154</v>
      </c>
      <c r="AK84" s="576"/>
      <c r="AL84" s="566">
        <v>30</v>
      </c>
      <c r="AM84" s="567"/>
      <c r="AN84" s="57" t="s">
        <v>124</v>
      </c>
      <c r="AO84" s="55">
        <v>1.4999999999999999E-2</v>
      </c>
      <c r="AP84" s="53">
        <f>AL84*AO84</f>
        <v>0.44999999999999996</v>
      </c>
    </row>
    <row r="85" spans="4:42" x14ac:dyDescent="0.25">
      <c r="D85" s="575" t="s">
        <v>162</v>
      </c>
      <c r="E85" s="576"/>
      <c r="F85" s="575" t="s">
        <v>158</v>
      </c>
      <c r="G85" s="576"/>
      <c r="H85" s="566">
        <v>3</v>
      </c>
      <c r="I85" s="567"/>
      <c r="J85" s="57" t="s">
        <v>131</v>
      </c>
      <c r="K85" s="688">
        <v>1.1000000000000001E-3</v>
      </c>
      <c r="L85" s="56">
        <f>80*211*H85*K85</f>
        <v>55.704000000000001</v>
      </c>
      <c r="N85" s="575" t="s">
        <v>150</v>
      </c>
      <c r="O85" s="576"/>
      <c r="P85" s="575" t="s">
        <v>157</v>
      </c>
      <c r="Q85" s="576"/>
      <c r="R85" s="603">
        <v>1</v>
      </c>
      <c r="S85" s="603"/>
      <c r="T85" s="57" t="s">
        <v>131</v>
      </c>
      <c r="U85" s="55">
        <v>1.1000000000000001E-3</v>
      </c>
      <c r="V85" s="56">
        <f>40*54*R85*U85</f>
        <v>2.3760000000000003</v>
      </c>
      <c r="X85" s="575" t="s">
        <v>47</v>
      </c>
      <c r="Y85" s="576"/>
      <c r="Z85" s="575" t="s">
        <v>48</v>
      </c>
      <c r="AA85" s="576"/>
      <c r="AB85" s="566">
        <v>4</v>
      </c>
      <c r="AC85" s="567"/>
      <c r="AD85" s="57" t="s">
        <v>124</v>
      </c>
      <c r="AE85" s="55">
        <v>7.0000000000000007E-2</v>
      </c>
      <c r="AF85" s="56">
        <f t="shared" si="5"/>
        <v>0.28000000000000003</v>
      </c>
      <c r="AH85" s="588" t="s">
        <v>150</v>
      </c>
      <c r="AI85" s="602"/>
      <c r="AJ85" s="636" t="s">
        <v>149</v>
      </c>
      <c r="AK85" s="576"/>
      <c r="AL85" s="566">
        <v>2</v>
      </c>
      <c r="AM85" s="567"/>
      <c r="AN85" s="57" t="s">
        <v>131</v>
      </c>
      <c r="AO85" s="688">
        <v>1.1000000000000001E-3</v>
      </c>
      <c r="AP85" s="56">
        <f>50*50*AL85*AO85</f>
        <v>5.5</v>
      </c>
    </row>
    <row r="86" spans="4:42" x14ac:dyDescent="0.25">
      <c r="D86" s="575" t="s">
        <v>162</v>
      </c>
      <c r="E86" s="576"/>
      <c r="F86" s="575" t="s">
        <v>159</v>
      </c>
      <c r="G86" s="576"/>
      <c r="H86" s="566">
        <v>2</v>
      </c>
      <c r="I86" s="567"/>
      <c r="J86" s="57" t="s">
        <v>131</v>
      </c>
      <c r="K86" s="627"/>
      <c r="L86" s="56">
        <f>80*180*H86*K85</f>
        <v>31.680000000000003</v>
      </c>
      <c r="N86" s="575" t="s">
        <v>141</v>
      </c>
      <c r="O86" s="576"/>
      <c r="P86" s="575" t="s">
        <v>156</v>
      </c>
      <c r="Q86" s="576"/>
      <c r="R86" s="603">
        <v>1</v>
      </c>
      <c r="S86" s="603"/>
      <c r="T86" s="57" t="s">
        <v>131</v>
      </c>
      <c r="U86" s="688">
        <v>8.5220000000000001E-4</v>
      </c>
      <c r="V86" s="56">
        <f>59*118*R86*U86</f>
        <v>5.9330163999999996</v>
      </c>
      <c r="X86" s="575" t="s">
        <v>162</v>
      </c>
      <c r="Y86" s="576"/>
      <c r="Z86" s="575" t="s">
        <v>155</v>
      </c>
      <c r="AA86" s="576"/>
      <c r="AB86" s="566">
        <v>3</v>
      </c>
      <c r="AC86" s="567"/>
      <c r="AD86" s="57" t="s">
        <v>131</v>
      </c>
      <c r="AE86" s="55">
        <v>1.1000000000000001E-3</v>
      </c>
      <c r="AF86" s="56">
        <f>51*127*AB86*AE86</f>
        <v>21.374100000000002</v>
      </c>
      <c r="AH86" s="588" t="s">
        <v>150</v>
      </c>
      <c r="AI86" s="602"/>
      <c r="AJ86" s="636" t="s">
        <v>151</v>
      </c>
      <c r="AK86" s="576"/>
      <c r="AL86" s="566">
        <v>1</v>
      </c>
      <c r="AM86" s="567"/>
      <c r="AN86" s="57" t="s">
        <v>131</v>
      </c>
      <c r="AO86" s="627"/>
      <c r="AP86" s="56">
        <f>50*66*AL86*AO85</f>
        <v>3.6300000000000003</v>
      </c>
    </row>
    <row r="87" spans="4:42" ht="15.75" thickBot="1" x14ac:dyDescent="0.3">
      <c r="D87" s="575" t="s">
        <v>162</v>
      </c>
      <c r="E87" s="576"/>
      <c r="F87" s="575" t="s">
        <v>160</v>
      </c>
      <c r="G87" s="576"/>
      <c r="H87" s="573">
        <v>1</v>
      </c>
      <c r="I87" s="574"/>
      <c r="J87" s="57" t="s">
        <v>131</v>
      </c>
      <c r="K87" s="689"/>
      <c r="L87" s="61">
        <f>180*211*H87*K85</f>
        <v>41.778000000000006</v>
      </c>
      <c r="N87" s="575" t="s">
        <v>141</v>
      </c>
      <c r="O87" s="576"/>
      <c r="P87" s="575" t="s">
        <v>157</v>
      </c>
      <c r="Q87" s="576"/>
      <c r="R87" s="637">
        <v>1</v>
      </c>
      <c r="S87" s="637"/>
      <c r="T87" s="57" t="s">
        <v>131</v>
      </c>
      <c r="U87" s="689"/>
      <c r="V87" s="61">
        <f>40*54*R87*U86</f>
        <v>1.8407519999999999</v>
      </c>
      <c r="X87" s="575" t="s">
        <v>141</v>
      </c>
      <c r="Y87" s="576"/>
      <c r="Z87" s="575" t="s">
        <v>155</v>
      </c>
      <c r="AA87" s="576"/>
      <c r="AB87" s="573">
        <v>3</v>
      </c>
      <c r="AC87" s="574"/>
      <c r="AD87" s="57" t="s">
        <v>131</v>
      </c>
      <c r="AE87" s="60">
        <v>8.5220000000000001E-4</v>
      </c>
      <c r="AF87" s="61">
        <f>51*127*AB87*AE87</f>
        <v>16.559098200000001</v>
      </c>
      <c r="AH87" s="588" t="s">
        <v>150</v>
      </c>
      <c r="AI87" s="602"/>
      <c r="AJ87" s="636" t="s">
        <v>152</v>
      </c>
      <c r="AK87" s="576"/>
      <c r="AL87" s="573">
        <v>1</v>
      </c>
      <c r="AM87" s="574"/>
      <c r="AN87" s="57" t="s">
        <v>131</v>
      </c>
      <c r="AO87" s="689"/>
      <c r="AP87" s="80">
        <f>16.5*51*AL87*AO85</f>
        <v>0.92565000000000008</v>
      </c>
    </row>
    <row r="88" spans="4:42" ht="16.5" thickBot="1" x14ac:dyDescent="0.3">
      <c r="D88" s="568" t="s">
        <v>133</v>
      </c>
      <c r="E88" s="569"/>
      <c r="F88" s="569"/>
      <c r="G88" s="569"/>
      <c r="H88" s="569"/>
      <c r="I88" s="569"/>
      <c r="J88" s="569"/>
      <c r="K88" s="570"/>
      <c r="L88" s="77">
        <f>SUM(L70:L87)</f>
        <v>218.31450000000001</v>
      </c>
      <c r="N88" s="568" t="s">
        <v>133</v>
      </c>
      <c r="O88" s="569"/>
      <c r="P88" s="569"/>
      <c r="Q88" s="569"/>
      <c r="R88" s="569"/>
      <c r="S88" s="569"/>
      <c r="T88" s="569"/>
      <c r="U88" s="570"/>
      <c r="V88" s="62">
        <f>SUM(V70:V87)</f>
        <v>67.306718399999994</v>
      </c>
      <c r="X88" s="568" t="s">
        <v>133</v>
      </c>
      <c r="Y88" s="569"/>
      <c r="Z88" s="569"/>
      <c r="AA88" s="569"/>
      <c r="AB88" s="569"/>
      <c r="AC88" s="569"/>
      <c r="AD88" s="569"/>
      <c r="AE88" s="570"/>
      <c r="AF88" s="62">
        <f>SUM(AF70:AF87)</f>
        <v>80.770698199999998</v>
      </c>
      <c r="AH88" s="634" t="s">
        <v>133</v>
      </c>
      <c r="AI88" s="635"/>
      <c r="AJ88" s="569"/>
      <c r="AK88" s="569"/>
      <c r="AL88" s="569"/>
      <c r="AM88" s="569"/>
      <c r="AN88" s="569"/>
      <c r="AO88" s="570"/>
      <c r="AP88" s="62">
        <f>SUM(AP70:AP87)</f>
        <v>57.096900000000005</v>
      </c>
    </row>
    <row r="89" spans="4:42" ht="15.75" thickBot="1" x14ac:dyDescent="0.3"/>
    <row r="90" spans="4:42" ht="27.75" thickBot="1" x14ac:dyDescent="0.3">
      <c r="D90" s="235" t="s">
        <v>113</v>
      </c>
      <c r="E90" s="236"/>
      <c r="F90" s="236"/>
      <c r="G90" s="236"/>
      <c r="H90" s="236"/>
      <c r="I90" s="236"/>
      <c r="J90" s="236"/>
      <c r="K90" s="236"/>
      <c r="L90" s="237"/>
      <c r="N90" s="235" t="s">
        <v>113</v>
      </c>
      <c r="O90" s="236"/>
      <c r="P90" s="236"/>
      <c r="Q90" s="236"/>
      <c r="R90" s="236"/>
      <c r="S90" s="236"/>
      <c r="T90" s="236"/>
      <c r="U90" s="236"/>
      <c r="V90" s="237"/>
      <c r="X90" s="235" t="s">
        <v>113</v>
      </c>
      <c r="Y90" s="236"/>
      <c r="Z90" s="236"/>
      <c r="AA90" s="236"/>
      <c r="AB90" s="236"/>
      <c r="AC90" s="236"/>
      <c r="AD90" s="236"/>
      <c r="AE90" s="236"/>
      <c r="AF90" s="237"/>
    </row>
    <row r="91" spans="4:42" ht="16.5" thickBot="1" x14ac:dyDescent="0.3">
      <c r="D91" s="234" t="s">
        <v>73</v>
      </c>
      <c r="E91" s="234"/>
      <c r="F91" s="234"/>
      <c r="G91" s="234"/>
      <c r="H91" s="234"/>
      <c r="I91" s="234"/>
      <c r="J91" s="234"/>
      <c r="K91" s="234"/>
      <c r="L91" s="234"/>
      <c r="N91" s="234" t="s">
        <v>74</v>
      </c>
      <c r="O91" s="234"/>
      <c r="P91" s="234"/>
      <c r="Q91" s="234"/>
      <c r="R91" s="234"/>
      <c r="S91" s="234"/>
      <c r="T91" s="234"/>
      <c r="U91" s="234"/>
      <c r="V91" s="234"/>
      <c r="X91" s="234" t="s">
        <v>75</v>
      </c>
      <c r="Y91" s="234"/>
      <c r="Z91" s="234"/>
      <c r="AA91" s="234"/>
      <c r="AB91" s="234"/>
      <c r="AC91" s="234"/>
      <c r="AD91" s="234"/>
      <c r="AE91" s="234"/>
      <c r="AF91" s="234"/>
    </row>
    <row r="92" spans="4:42" ht="21" thickBot="1" x14ac:dyDescent="0.3">
      <c r="D92" s="222" t="s">
        <v>76</v>
      </c>
      <c r="E92" s="223"/>
      <c r="F92" s="223"/>
      <c r="G92" s="223"/>
      <c r="H92" s="223"/>
      <c r="I92" s="223"/>
      <c r="J92" s="223"/>
      <c r="K92" s="223"/>
      <c r="L92" s="224"/>
      <c r="N92" s="222" t="s">
        <v>77</v>
      </c>
      <c r="O92" s="223"/>
      <c r="P92" s="223"/>
      <c r="Q92" s="223"/>
      <c r="R92" s="223"/>
      <c r="S92" s="223"/>
      <c r="T92" s="223"/>
      <c r="U92" s="223"/>
      <c r="V92" s="224"/>
      <c r="X92" s="222" t="s">
        <v>78</v>
      </c>
      <c r="Y92" s="223"/>
      <c r="Z92" s="223"/>
      <c r="AA92" s="223"/>
      <c r="AB92" s="223"/>
      <c r="AC92" s="223"/>
      <c r="AD92" s="223"/>
      <c r="AE92" s="223"/>
      <c r="AF92" s="224"/>
    </row>
    <row r="93" spans="4:42" x14ac:dyDescent="0.25">
      <c r="D93" s="34"/>
      <c r="E93" s="35"/>
      <c r="F93" s="35"/>
      <c r="G93" s="35"/>
      <c r="H93" s="35"/>
      <c r="I93" s="35"/>
      <c r="J93" s="35"/>
      <c r="K93" s="35"/>
      <c r="L93" s="36"/>
      <c r="N93" s="34"/>
      <c r="O93" s="35"/>
      <c r="P93" s="35"/>
      <c r="Q93" s="35"/>
      <c r="R93" s="35"/>
      <c r="S93" s="35"/>
      <c r="T93" s="35"/>
      <c r="U93" s="35"/>
      <c r="V93" s="36"/>
      <c r="X93" s="34"/>
      <c r="Y93" s="35"/>
      <c r="Z93" s="35"/>
      <c r="AA93" s="35"/>
      <c r="AB93" s="35"/>
      <c r="AC93" s="35"/>
      <c r="AD93" s="35"/>
      <c r="AE93" s="35"/>
      <c r="AF93" s="36"/>
    </row>
    <row r="94" spans="4:42" x14ac:dyDescent="0.25">
      <c r="D94" s="37"/>
      <c r="E94" s="38"/>
      <c r="F94" s="38"/>
      <c r="G94" s="38"/>
      <c r="H94" s="38"/>
      <c r="I94" s="38"/>
      <c r="J94" s="38"/>
      <c r="K94" s="38"/>
      <c r="L94" s="39"/>
      <c r="N94" s="37"/>
      <c r="O94" s="38"/>
      <c r="P94" s="38"/>
      <c r="Q94" s="38"/>
      <c r="R94" s="38"/>
      <c r="S94" s="38"/>
      <c r="T94" s="38"/>
      <c r="U94" s="38"/>
      <c r="V94" s="39"/>
      <c r="X94" s="37"/>
      <c r="Y94" s="38"/>
      <c r="Z94" s="38"/>
      <c r="AA94" s="38"/>
      <c r="AB94" s="38"/>
      <c r="AC94" s="38"/>
      <c r="AD94" s="38"/>
      <c r="AE94" s="38"/>
      <c r="AF94" s="39"/>
    </row>
    <row r="95" spans="4:42" x14ac:dyDescent="0.25">
      <c r="D95" s="37"/>
      <c r="E95" s="38"/>
      <c r="F95" s="38"/>
      <c r="G95" s="38"/>
      <c r="H95" s="38"/>
      <c r="I95" s="38"/>
      <c r="J95" s="38"/>
      <c r="K95" s="38"/>
      <c r="L95" s="39"/>
      <c r="N95" s="37"/>
      <c r="O95" s="38"/>
      <c r="P95" s="38"/>
      <c r="Q95" s="38"/>
      <c r="R95" s="38"/>
      <c r="S95" s="38"/>
      <c r="T95" s="38"/>
      <c r="U95" s="38"/>
      <c r="V95" s="39"/>
      <c r="X95" s="37"/>
      <c r="Y95" s="38"/>
      <c r="Z95" s="38"/>
      <c r="AA95" s="38"/>
      <c r="AB95" s="38"/>
      <c r="AC95" s="38"/>
      <c r="AD95" s="38"/>
      <c r="AE95" s="38"/>
      <c r="AF95" s="39"/>
    </row>
    <row r="96" spans="4:42" x14ac:dyDescent="0.25">
      <c r="D96" s="37"/>
      <c r="E96" s="38"/>
      <c r="F96" s="38"/>
      <c r="G96" s="38"/>
      <c r="H96" s="38"/>
      <c r="I96" s="38"/>
      <c r="J96" s="38"/>
      <c r="K96" s="38"/>
      <c r="L96" s="39"/>
      <c r="N96" s="37"/>
      <c r="O96" s="38"/>
      <c r="P96" s="38"/>
      <c r="Q96" s="38"/>
      <c r="R96" s="38"/>
      <c r="S96" s="38"/>
      <c r="T96" s="38"/>
      <c r="U96" s="38"/>
      <c r="V96" s="39"/>
      <c r="X96" s="37"/>
      <c r="Y96" s="38"/>
      <c r="Z96" s="38"/>
      <c r="AA96" s="38"/>
      <c r="AB96" s="38"/>
      <c r="AC96" s="38"/>
      <c r="AD96" s="38"/>
      <c r="AE96" s="38"/>
      <c r="AF96" s="39"/>
    </row>
    <row r="97" spans="4:32" x14ac:dyDescent="0.25">
      <c r="D97" s="37"/>
      <c r="E97" s="38"/>
      <c r="F97" s="38"/>
      <c r="G97" s="38"/>
      <c r="H97" s="38"/>
      <c r="I97" s="38"/>
      <c r="J97" s="38"/>
      <c r="K97" s="38"/>
      <c r="L97" s="39"/>
      <c r="N97" s="37"/>
      <c r="O97" s="38"/>
      <c r="P97" s="38"/>
      <c r="Q97" s="38"/>
      <c r="R97" s="38"/>
      <c r="S97" s="38"/>
      <c r="T97" s="38"/>
      <c r="U97" s="38"/>
      <c r="V97" s="39"/>
      <c r="X97" s="37"/>
      <c r="Y97" s="38"/>
      <c r="Z97" s="38"/>
      <c r="AA97" s="38"/>
      <c r="AB97" s="38"/>
      <c r="AC97" s="38"/>
      <c r="AD97" s="38"/>
      <c r="AE97" s="38"/>
      <c r="AF97" s="39"/>
    </row>
    <row r="98" spans="4:32" x14ac:dyDescent="0.25">
      <c r="D98" s="37"/>
      <c r="E98" s="38"/>
      <c r="F98" s="38"/>
      <c r="G98" s="38"/>
      <c r="H98" s="38"/>
      <c r="I98" s="38"/>
      <c r="J98" s="38"/>
      <c r="K98" s="38"/>
      <c r="L98" s="39"/>
      <c r="N98" s="37"/>
      <c r="O98" s="38"/>
      <c r="P98" s="38"/>
      <c r="Q98" s="38"/>
      <c r="R98" s="38"/>
      <c r="S98" s="38"/>
      <c r="T98" s="38"/>
      <c r="U98" s="38"/>
      <c r="V98" s="39"/>
      <c r="X98" s="37"/>
      <c r="Y98" s="38"/>
      <c r="Z98" s="38"/>
      <c r="AA98" s="38"/>
      <c r="AB98" s="38"/>
      <c r="AC98" s="38"/>
      <c r="AD98" s="38"/>
      <c r="AE98" s="38"/>
      <c r="AF98" s="39"/>
    </row>
    <row r="99" spans="4:32" x14ac:dyDescent="0.25">
      <c r="D99" s="37"/>
      <c r="E99" s="38"/>
      <c r="F99" s="38"/>
      <c r="G99" s="38"/>
      <c r="H99" s="38"/>
      <c r="I99" s="38"/>
      <c r="J99" s="72"/>
      <c r="K99" s="72"/>
      <c r="L99" s="39"/>
      <c r="N99" s="37"/>
      <c r="O99" s="38"/>
      <c r="P99" s="38"/>
      <c r="Q99" s="38"/>
      <c r="R99" s="38"/>
      <c r="S99" s="38"/>
      <c r="T99" s="38"/>
      <c r="U99" s="38"/>
      <c r="V99" s="39"/>
      <c r="X99" s="37"/>
      <c r="Y99" s="38"/>
      <c r="Z99" s="38"/>
      <c r="AA99" s="38"/>
      <c r="AB99" s="38"/>
      <c r="AC99" s="38"/>
      <c r="AD99" s="38"/>
      <c r="AE99" s="38"/>
      <c r="AF99" s="39"/>
    </row>
    <row r="100" spans="4:32" x14ac:dyDescent="0.25">
      <c r="D100" s="37"/>
      <c r="E100" s="38"/>
      <c r="F100" s="38"/>
      <c r="G100" s="38"/>
      <c r="H100" s="38"/>
      <c r="I100" s="38"/>
      <c r="J100" s="72"/>
      <c r="K100" s="72"/>
      <c r="L100" s="39"/>
      <c r="N100" s="37"/>
      <c r="O100" s="38"/>
      <c r="P100" s="38"/>
      <c r="Q100" s="38"/>
      <c r="R100" s="38"/>
      <c r="S100" s="38"/>
      <c r="T100" s="38"/>
      <c r="U100" s="38"/>
      <c r="V100" s="39"/>
      <c r="X100" s="37"/>
      <c r="Y100" s="38"/>
      <c r="Z100" s="38"/>
      <c r="AA100" s="38"/>
      <c r="AB100" s="38"/>
      <c r="AC100" s="38"/>
      <c r="AD100" s="38"/>
      <c r="AE100" s="38"/>
      <c r="AF100" s="39"/>
    </row>
    <row r="101" spans="4:32" x14ac:dyDescent="0.25">
      <c r="D101" s="37"/>
      <c r="E101" s="38"/>
      <c r="F101" s="38"/>
      <c r="G101" s="38"/>
      <c r="H101" s="38"/>
      <c r="I101" s="38"/>
      <c r="J101" s="72"/>
      <c r="K101" s="72"/>
      <c r="L101" s="39"/>
      <c r="N101" s="37"/>
      <c r="O101" s="38"/>
      <c r="P101" s="38"/>
      <c r="Q101" s="38"/>
      <c r="R101" s="38"/>
      <c r="S101" s="38"/>
      <c r="T101" s="38"/>
      <c r="U101" s="38"/>
      <c r="V101" s="39"/>
      <c r="X101" s="37"/>
      <c r="Y101" s="38"/>
      <c r="Z101" s="38"/>
      <c r="AA101" s="38"/>
      <c r="AB101" s="38"/>
      <c r="AC101" s="38"/>
      <c r="AD101" s="38"/>
      <c r="AE101" s="38"/>
      <c r="AF101" s="39"/>
    </row>
    <row r="102" spans="4:32" x14ac:dyDescent="0.25">
      <c r="D102" s="37"/>
      <c r="E102" s="38"/>
      <c r="F102" s="38"/>
      <c r="G102" s="38"/>
      <c r="H102" s="38"/>
      <c r="I102" s="38"/>
      <c r="J102" s="38"/>
      <c r="K102" s="38"/>
      <c r="L102" s="39"/>
      <c r="N102" s="37"/>
      <c r="O102" s="38"/>
      <c r="P102" s="38"/>
      <c r="Q102" s="38"/>
      <c r="R102" s="38"/>
      <c r="S102" s="38"/>
      <c r="T102" s="38"/>
      <c r="U102" s="38"/>
      <c r="V102" s="39"/>
      <c r="X102" s="37"/>
      <c r="Y102" s="38"/>
      <c r="Z102" s="38"/>
      <c r="AA102" s="38"/>
      <c r="AB102" s="38"/>
      <c r="AC102" s="38"/>
      <c r="AD102" s="38"/>
      <c r="AE102" s="38"/>
      <c r="AF102" s="39"/>
    </row>
    <row r="103" spans="4:32" x14ac:dyDescent="0.25">
      <c r="D103" s="37"/>
      <c r="E103" s="38"/>
      <c r="F103" s="38"/>
      <c r="G103" s="38"/>
      <c r="H103" s="38"/>
      <c r="I103" s="38"/>
      <c r="J103" s="38"/>
      <c r="K103" s="38"/>
      <c r="L103" s="39"/>
      <c r="N103" s="37"/>
      <c r="O103" s="38"/>
      <c r="P103" s="38"/>
      <c r="Q103" s="38"/>
      <c r="R103" s="38"/>
      <c r="S103" s="38"/>
      <c r="T103" s="38"/>
      <c r="U103" s="38"/>
      <c r="V103" s="39"/>
      <c r="X103" s="37"/>
      <c r="Y103" s="38"/>
      <c r="Z103" s="38"/>
      <c r="AA103" s="38"/>
      <c r="AB103" s="38"/>
      <c r="AC103" s="38"/>
      <c r="AD103" s="38"/>
      <c r="AE103" s="38"/>
      <c r="AF103" s="39"/>
    </row>
    <row r="104" spans="4:32" x14ac:dyDescent="0.25">
      <c r="D104" s="37"/>
      <c r="E104" s="38"/>
      <c r="F104" s="38"/>
      <c r="G104" s="38"/>
      <c r="H104" s="38"/>
      <c r="I104" s="38"/>
      <c r="J104" s="38"/>
      <c r="K104" s="38"/>
      <c r="L104" s="39"/>
      <c r="N104" s="37"/>
      <c r="O104" s="38"/>
      <c r="P104" s="38"/>
      <c r="Q104" s="38"/>
      <c r="R104" s="38"/>
      <c r="S104" s="38"/>
      <c r="T104" s="38"/>
      <c r="U104" s="38"/>
      <c r="V104" s="39"/>
      <c r="X104" s="37"/>
      <c r="Y104" s="38"/>
      <c r="Z104" s="38"/>
      <c r="AA104" s="38"/>
      <c r="AB104" s="38"/>
      <c r="AC104" s="38"/>
      <c r="AD104" s="38"/>
      <c r="AE104" s="38"/>
      <c r="AF104" s="39"/>
    </row>
    <row r="105" spans="4:32" x14ac:dyDescent="0.25">
      <c r="D105" s="37"/>
      <c r="E105" s="38"/>
      <c r="F105" s="38"/>
      <c r="G105" s="38"/>
      <c r="H105" s="38"/>
      <c r="I105" s="38"/>
      <c r="J105" s="38"/>
      <c r="K105" s="38"/>
      <c r="L105" s="39"/>
      <c r="N105" s="37"/>
      <c r="O105" s="38"/>
      <c r="P105" s="38"/>
      <c r="Q105" s="38"/>
      <c r="R105" s="38"/>
      <c r="S105" s="38"/>
      <c r="T105" s="38"/>
      <c r="U105" s="38"/>
      <c r="V105" s="39"/>
      <c r="X105" s="37"/>
      <c r="Y105" s="38"/>
      <c r="Z105" s="38"/>
      <c r="AA105" s="38"/>
      <c r="AB105" s="38"/>
      <c r="AC105" s="38"/>
      <c r="AD105" s="38"/>
      <c r="AE105" s="38"/>
      <c r="AF105" s="39"/>
    </row>
    <row r="106" spans="4:32" x14ac:dyDescent="0.25">
      <c r="D106" s="37"/>
      <c r="E106" s="38"/>
      <c r="F106" s="38"/>
      <c r="G106" s="38"/>
      <c r="H106" s="38"/>
      <c r="I106" s="38"/>
      <c r="J106" s="38"/>
      <c r="K106" s="38"/>
      <c r="L106" s="39"/>
      <c r="N106" s="37"/>
      <c r="O106" s="38"/>
      <c r="P106" s="38"/>
      <c r="Q106" s="38"/>
      <c r="R106" s="38"/>
      <c r="S106" s="38"/>
      <c r="T106" s="38"/>
      <c r="U106" s="38"/>
      <c r="V106" s="39"/>
      <c r="X106" s="37"/>
      <c r="Y106" s="38"/>
      <c r="Z106" s="38"/>
      <c r="AA106" s="38"/>
      <c r="AB106" s="38"/>
      <c r="AC106" s="38"/>
      <c r="AD106" s="38"/>
      <c r="AE106" s="38"/>
      <c r="AF106" s="39"/>
    </row>
    <row r="107" spans="4:32" x14ac:dyDescent="0.25">
      <c r="D107" s="37"/>
      <c r="E107" s="38"/>
      <c r="F107" s="38"/>
      <c r="G107" s="38"/>
      <c r="H107" s="38"/>
      <c r="I107" s="38"/>
      <c r="J107" s="38"/>
      <c r="K107" s="38"/>
      <c r="L107" s="39"/>
      <c r="N107" s="37"/>
      <c r="O107" s="38"/>
      <c r="P107" s="38"/>
      <c r="Q107" s="38"/>
      <c r="R107" s="38"/>
      <c r="S107" s="38"/>
      <c r="T107" s="38"/>
      <c r="U107" s="38"/>
      <c r="V107" s="39"/>
      <c r="X107" s="37"/>
      <c r="Y107" s="38"/>
      <c r="Z107" s="38"/>
      <c r="AA107" s="38"/>
      <c r="AB107" s="38"/>
      <c r="AC107" s="38"/>
      <c r="AD107" s="38"/>
      <c r="AE107" s="38"/>
      <c r="AF107" s="39"/>
    </row>
    <row r="108" spans="4:32" x14ac:dyDescent="0.25">
      <c r="D108" s="37"/>
      <c r="E108" s="38"/>
      <c r="F108" s="38"/>
      <c r="G108" s="38"/>
      <c r="H108" s="38"/>
      <c r="I108" s="38"/>
      <c r="J108" s="38"/>
      <c r="K108" s="38"/>
      <c r="L108" s="39"/>
      <c r="N108" s="37"/>
      <c r="O108" s="38"/>
      <c r="P108" s="38"/>
      <c r="Q108" s="38"/>
      <c r="R108" s="38"/>
      <c r="S108" s="38"/>
      <c r="T108" s="38"/>
      <c r="U108" s="38"/>
      <c r="V108" s="39"/>
      <c r="X108" s="37"/>
      <c r="Y108" s="38"/>
      <c r="Z108" s="38"/>
      <c r="AA108" s="38"/>
      <c r="AB108" s="38"/>
      <c r="AC108" s="38"/>
      <c r="AD108" s="38"/>
      <c r="AE108" s="38"/>
      <c r="AF108" s="39"/>
    </row>
    <row r="109" spans="4:32" ht="15.75" thickBot="1" x14ac:dyDescent="0.3">
      <c r="D109" s="37"/>
      <c r="E109" s="38"/>
      <c r="F109" s="38"/>
      <c r="G109" s="38"/>
      <c r="H109" s="38"/>
      <c r="I109" s="38"/>
      <c r="J109" s="38"/>
      <c r="K109" s="38"/>
      <c r="L109" s="39"/>
      <c r="N109" s="37"/>
      <c r="O109" s="38"/>
      <c r="P109" s="38"/>
      <c r="Q109" s="38"/>
      <c r="R109" s="38"/>
      <c r="S109" s="38"/>
      <c r="T109" s="38"/>
      <c r="U109" s="38"/>
      <c r="V109" s="39"/>
      <c r="X109" s="37"/>
      <c r="Y109" s="38"/>
      <c r="Z109" s="38"/>
      <c r="AA109" s="38"/>
      <c r="AB109" s="38"/>
      <c r="AC109" s="38"/>
      <c r="AD109" s="38"/>
      <c r="AE109" s="38"/>
      <c r="AF109" s="39"/>
    </row>
    <row r="110" spans="4:32" x14ac:dyDescent="0.25">
      <c r="D110" s="628" t="s">
        <v>76</v>
      </c>
      <c r="E110" s="629"/>
      <c r="F110" s="629"/>
      <c r="G110" s="629"/>
      <c r="H110" s="629"/>
      <c r="I110" s="629"/>
      <c r="J110" s="629"/>
      <c r="K110" s="629"/>
      <c r="L110" s="630"/>
      <c r="N110" s="628" t="s">
        <v>77</v>
      </c>
      <c r="O110" s="629"/>
      <c r="P110" s="629"/>
      <c r="Q110" s="629"/>
      <c r="R110" s="629"/>
      <c r="S110" s="629"/>
      <c r="T110" s="629"/>
      <c r="U110" s="629"/>
      <c r="V110" s="630"/>
      <c r="X110" s="628" t="s">
        <v>78</v>
      </c>
      <c r="Y110" s="629"/>
      <c r="Z110" s="629"/>
      <c r="AA110" s="629"/>
      <c r="AB110" s="629"/>
      <c r="AC110" s="629"/>
      <c r="AD110" s="629"/>
      <c r="AE110" s="629"/>
      <c r="AF110" s="630"/>
    </row>
    <row r="111" spans="4:32" ht="15.75" thickBot="1" x14ac:dyDescent="0.3">
      <c r="D111" s="631"/>
      <c r="E111" s="632"/>
      <c r="F111" s="632"/>
      <c r="G111" s="632"/>
      <c r="H111" s="632"/>
      <c r="I111" s="632"/>
      <c r="J111" s="632"/>
      <c r="K111" s="632"/>
      <c r="L111" s="633"/>
      <c r="N111" s="631"/>
      <c r="O111" s="632"/>
      <c r="P111" s="632"/>
      <c r="Q111" s="632"/>
      <c r="R111" s="632"/>
      <c r="S111" s="632"/>
      <c r="T111" s="632"/>
      <c r="U111" s="632"/>
      <c r="V111" s="633"/>
      <c r="X111" s="631"/>
      <c r="Y111" s="632"/>
      <c r="Z111" s="632"/>
      <c r="AA111" s="632"/>
      <c r="AB111" s="632"/>
      <c r="AC111" s="632"/>
      <c r="AD111" s="632"/>
      <c r="AE111" s="632"/>
      <c r="AF111" s="633"/>
    </row>
    <row r="112" spans="4:32" x14ac:dyDescent="0.25">
      <c r="D112" s="614" t="s">
        <v>109</v>
      </c>
      <c r="E112" s="615"/>
      <c r="F112" s="618" t="s">
        <v>118</v>
      </c>
      <c r="G112" s="619"/>
      <c r="H112" s="622" t="s">
        <v>119</v>
      </c>
      <c r="I112" s="619"/>
      <c r="J112" s="624" t="s">
        <v>40</v>
      </c>
      <c r="K112" s="624" t="s">
        <v>120</v>
      </c>
      <c r="L112" s="624" t="s">
        <v>121</v>
      </c>
      <c r="N112" s="614" t="s">
        <v>109</v>
      </c>
      <c r="O112" s="615"/>
      <c r="P112" s="618" t="s">
        <v>118</v>
      </c>
      <c r="Q112" s="619"/>
      <c r="R112" s="622" t="s">
        <v>119</v>
      </c>
      <c r="S112" s="619"/>
      <c r="T112" s="624" t="s">
        <v>40</v>
      </c>
      <c r="U112" s="624" t="s">
        <v>120</v>
      </c>
      <c r="V112" s="624" t="s">
        <v>121</v>
      </c>
      <c r="X112" s="614" t="s">
        <v>109</v>
      </c>
      <c r="Y112" s="615"/>
      <c r="Z112" s="618" t="s">
        <v>118</v>
      </c>
      <c r="AA112" s="619"/>
      <c r="AB112" s="622" t="s">
        <v>119</v>
      </c>
      <c r="AC112" s="619"/>
      <c r="AD112" s="624" t="s">
        <v>40</v>
      </c>
      <c r="AE112" s="624" t="s">
        <v>120</v>
      </c>
      <c r="AF112" s="624" t="s">
        <v>121</v>
      </c>
    </row>
    <row r="113" spans="4:32" ht="15.75" thickBot="1" x14ac:dyDescent="0.3">
      <c r="D113" s="616"/>
      <c r="E113" s="617"/>
      <c r="F113" s="620"/>
      <c r="G113" s="621"/>
      <c r="H113" s="623"/>
      <c r="I113" s="621"/>
      <c r="J113" s="625"/>
      <c r="K113" s="625"/>
      <c r="L113" s="625"/>
      <c r="N113" s="616"/>
      <c r="O113" s="617"/>
      <c r="P113" s="620"/>
      <c r="Q113" s="621"/>
      <c r="R113" s="623"/>
      <c r="S113" s="621"/>
      <c r="T113" s="625"/>
      <c r="U113" s="625"/>
      <c r="V113" s="625"/>
      <c r="X113" s="616"/>
      <c r="Y113" s="617"/>
      <c r="Z113" s="620"/>
      <c r="AA113" s="621"/>
      <c r="AB113" s="623"/>
      <c r="AC113" s="621"/>
      <c r="AD113" s="625"/>
      <c r="AE113" s="625"/>
      <c r="AF113" s="625"/>
    </row>
    <row r="114" spans="4:32" x14ac:dyDescent="0.25">
      <c r="D114" s="581" t="s">
        <v>122</v>
      </c>
      <c r="E114" s="610"/>
      <c r="F114" s="606" t="s">
        <v>174</v>
      </c>
      <c r="G114" s="607"/>
      <c r="H114" s="608">
        <v>2</v>
      </c>
      <c r="I114" s="609"/>
      <c r="J114" s="74" t="s">
        <v>124</v>
      </c>
      <c r="K114" s="626">
        <v>1.125E-2</v>
      </c>
      <c r="L114" s="75">
        <f>95*2*0.01125</f>
        <v>2.1374999999999997</v>
      </c>
      <c r="N114" s="581" t="s">
        <v>122</v>
      </c>
      <c r="O114" s="610"/>
      <c r="P114" s="606" t="s">
        <v>165</v>
      </c>
      <c r="Q114" s="607"/>
      <c r="R114" s="608">
        <v>8</v>
      </c>
      <c r="S114" s="609"/>
      <c r="T114" s="74" t="s">
        <v>124</v>
      </c>
      <c r="U114" s="626">
        <v>1.125E-2</v>
      </c>
      <c r="V114" s="75">
        <f>33*8*0.01125</f>
        <v>2.9699999999999998</v>
      </c>
      <c r="X114" s="581" t="s">
        <v>122</v>
      </c>
      <c r="Y114" s="610"/>
      <c r="Z114" s="612" t="s">
        <v>139</v>
      </c>
      <c r="AA114" s="613"/>
      <c r="AB114" s="608">
        <v>4</v>
      </c>
      <c r="AC114" s="609"/>
      <c r="AD114" s="74" t="s">
        <v>124</v>
      </c>
      <c r="AE114" s="626">
        <v>1.125E-2</v>
      </c>
      <c r="AF114" s="75">
        <f>46*4*0.01125</f>
        <v>2.0699999999999998</v>
      </c>
    </row>
    <row r="115" spans="4:32" x14ac:dyDescent="0.25">
      <c r="D115" s="583"/>
      <c r="E115" s="611"/>
      <c r="F115" s="575" t="s">
        <v>128</v>
      </c>
      <c r="G115" s="576"/>
      <c r="H115" s="598">
        <v>2</v>
      </c>
      <c r="I115" s="599"/>
      <c r="J115" s="74" t="s">
        <v>124</v>
      </c>
      <c r="K115" s="627"/>
      <c r="L115" s="76">
        <f>72*2*0.01125</f>
        <v>1.6199999999999999</v>
      </c>
      <c r="N115" s="583"/>
      <c r="O115" s="611"/>
      <c r="P115" s="575" t="s">
        <v>166</v>
      </c>
      <c r="Q115" s="576"/>
      <c r="R115" s="598">
        <v>4</v>
      </c>
      <c r="S115" s="599"/>
      <c r="T115" s="74" t="s">
        <v>124</v>
      </c>
      <c r="U115" s="627"/>
      <c r="V115" s="76">
        <f>65*4*0.01125</f>
        <v>2.9249999999999998</v>
      </c>
      <c r="X115" s="583"/>
      <c r="Y115" s="611"/>
      <c r="Z115" s="600" t="s">
        <v>169</v>
      </c>
      <c r="AA115" s="601"/>
      <c r="AB115" s="598">
        <v>4</v>
      </c>
      <c r="AC115" s="599"/>
      <c r="AD115" s="74" t="s">
        <v>124</v>
      </c>
      <c r="AE115" s="627"/>
      <c r="AF115" s="76">
        <f>24*4*0.01125</f>
        <v>1.08</v>
      </c>
    </row>
    <row r="116" spans="4:32" x14ac:dyDescent="0.25">
      <c r="D116" s="583"/>
      <c r="E116" s="611"/>
      <c r="F116" s="575" t="s">
        <v>170</v>
      </c>
      <c r="G116" s="576"/>
      <c r="H116" s="598">
        <v>2</v>
      </c>
      <c r="I116" s="599"/>
      <c r="J116" s="74" t="s">
        <v>124</v>
      </c>
      <c r="K116" s="627"/>
      <c r="L116" s="76">
        <f>15*2*0.01125</f>
        <v>0.33749999999999997</v>
      </c>
      <c r="N116" s="583"/>
      <c r="O116" s="611"/>
      <c r="P116" s="575" t="s">
        <v>167</v>
      </c>
      <c r="Q116" s="576"/>
      <c r="R116" s="598">
        <v>6</v>
      </c>
      <c r="S116" s="599"/>
      <c r="T116" s="74" t="s">
        <v>124</v>
      </c>
      <c r="U116" s="627"/>
      <c r="V116" s="76">
        <f>22*6*0.01125</f>
        <v>1.4849999999999999</v>
      </c>
      <c r="X116" s="583"/>
      <c r="Y116" s="611"/>
      <c r="Z116" s="600" t="s">
        <v>170</v>
      </c>
      <c r="AA116" s="601"/>
      <c r="AB116" s="598">
        <v>4</v>
      </c>
      <c r="AC116" s="599"/>
      <c r="AD116" s="74" t="s">
        <v>124</v>
      </c>
      <c r="AE116" s="627"/>
      <c r="AF116" s="76">
        <f>15*4*0.01125</f>
        <v>0.67499999999999993</v>
      </c>
    </row>
    <row r="117" spans="4:32" x14ac:dyDescent="0.25">
      <c r="D117" s="583"/>
      <c r="E117" s="611"/>
      <c r="F117" s="575" t="s">
        <v>138</v>
      </c>
      <c r="G117" s="576"/>
      <c r="H117" s="598">
        <v>2</v>
      </c>
      <c r="I117" s="599"/>
      <c r="J117" s="74" t="s">
        <v>124</v>
      </c>
      <c r="K117" s="627"/>
      <c r="L117" s="76">
        <f>45*2*0.01125</f>
        <v>1.0125</v>
      </c>
      <c r="N117" s="583"/>
      <c r="O117" s="611"/>
      <c r="P117" s="575"/>
      <c r="Q117" s="576"/>
      <c r="R117" s="598"/>
      <c r="S117" s="599"/>
      <c r="T117" s="74"/>
      <c r="U117" s="78"/>
      <c r="V117" s="76"/>
      <c r="X117" s="583"/>
      <c r="Y117" s="611"/>
      <c r="Z117" s="600"/>
      <c r="AA117" s="601"/>
      <c r="AB117" s="598"/>
      <c r="AC117" s="599"/>
      <c r="AD117" s="74"/>
      <c r="AE117" s="78"/>
      <c r="AF117" s="76"/>
    </row>
    <row r="118" spans="4:32" x14ac:dyDescent="0.25">
      <c r="D118" s="583"/>
      <c r="E118" s="611"/>
      <c r="F118" s="575"/>
      <c r="G118" s="576"/>
      <c r="H118" s="598"/>
      <c r="I118" s="599"/>
      <c r="J118" s="74"/>
      <c r="K118" s="78"/>
      <c r="L118" s="76"/>
      <c r="N118" s="583"/>
      <c r="O118" s="611"/>
      <c r="P118" s="575"/>
      <c r="Q118" s="576"/>
      <c r="R118" s="598"/>
      <c r="S118" s="599"/>
      <c r="T118" s="74"/>
      <c r="U118" s="78"/>
      <c r="V118" s="76"/>
      <c r="X118" s="583"/>
      <c r="Y118" s="611"/>
      <c r="Z118" s="600"/>
      <c r="AA118" s="601"/>
      <c r="AB118" s="598"/>
      <c r="AC118" s="599"/>
      <c r="AD118" s="74"/>
      <c r="AE118" s="78"/>
      <c r="AF118" s="76"/>
    </row>
    <row r="119" spans="4:32" x14ac:dyDescent="0.25">
      <c r="D119" s="583"/>
      <c r="E119" s="611"/>
      <c r="F119" s="575"/>
      <c r="G119" s="576"/>
      <c r="H119" s="598"/>
      <c r="I119" s="599"/>
      <c r="J119" s="74"/>
      <c r="K119" s="78"/>
      <c r="L119" s="76"/>
      <c r="N119" s="583"/>
      <c r="O119" s="611"/>
      <c r="P119" s="575"/>
      <c r="Q119" s="576"/>
      <c r="R119" s="598"/>
      <c r="S119" s="599"/>
      <c r="T119" s="74"/>
      <c r="U119" s="78"/>
      <c r="V119" s="76"/>
      <c r="X119" s="583"/>
      <c r="Y119" s="611"/>
      <c r="Z119" s="600"/>
      <c r="AA119" s="601"/>
      <c r="AB119" s="598"/>
      <c r="AC119" s="599"/>
      <c r="AD119" s="74"/>
      <c r="AE119" s="78"/>
      <c r="AF119" s="76"/>
    </row>
    <row r="120" spans="4:32" x14ac:dyDescent="0.25">
      <c r="D120" s="583"/>
      <c r="E120" s="611"/>
      <c r="F120" s="575"/>
      <c r="G120" s="576"/>
      <c r="H120" s="598"/>
      <c r="I120" s="599"/>
      <c r="J120" s="74"/>
      <c r="K120" s="78"/>
      <c r="L120" s="76"/>
      <c r="N120" s="583"/>
      <c r="O120" s="611"/>
      <c r="P120" s="575"/>
      <c r="Q120" s="576"/>
      <c r="R120" s="598"/>
      <c r="S120" s="599"/>
      <c r="T120" s="74"/>
      <c r="U120" s="78"/>
      <c r="V120" s="76"/>
      <c r="X120" s="583"/>
      <c r="Y120" s="611"/>
      <c r="Z120" s="600"/>
      <c r="AA120" s="601"/>
      <c r="AB120" s="598"/>
      <c r="AC120" s="599"/>
      <c r="AD120" s="74"/>
      <c r="AE120" s="78"/>
      <c r="AF120" s="76"/>
    </row>
    <row r="121" spans="4:32" ht="15.75" thickBot="1" x14ac:dyDescent="0.3">
      <c r="D121" s="583"/>
      <c r="E121" s="611"/>
      <c r="F121" s="571"/>
      <c r="G121" s="572"/>
      <c r="H121" s="604"/>
      <c r="I121" s="605"/>
      <c r="J121" s="74"/>
      <c r="K121" s="79"/>
      <c r="L121" s="76"/>
      <c r="N121" s="583"/>
      <c r="O121" s="611"/>
      <c r="P121" s="571"/>
      <c r="Q121" s="572"/>
      <c r="R121" s="604"/>
      <c r="S121" s="605"/>
      <c r="T121" s="74"/>
      <c r="U121" s="79"/>
      <c r="V121" s="76"/>
      <c r="X121" s="583"/>
      <c r="Y121" s="611"/>
      <c r="Z121" s="571"/>
      <c r="AA121" s="572"/>
      <c r="AB121" s="604"/>
      <c r="AC121" s="605"/>
      <c r="AD121" s="74"/>
      <c r="AE121" s="79"/>
      <c r="AF121" s="76"/>
    </row>
    <row r="122" spans="4:32" x14ac:dyDescent="0.25">
      <c r="D122" s="581" t="s">
        <v>129</v>
      </c>
      <c r="E122" s="582"/>
      <c r="F122" s="577" t="s">
        <v>42</v>
      </c>
      <c r="G122" s="585"/>
      <c r="H122" s="586">
        <v>14</v>
      </c>
      <c r="I122" s="587"/>
      <c r="J122" s="54" t="s">
        <v>112</v>
      </c>
      <c r="K122" s="45">
        <v>0.68</v>
      </c>
      <c r="L122" s="41">
        <f>H122*K122</f>
        <v>9.5200000000000014</v>
      </c>
      <c r="N122" s="581" t="s">
        <v>129</v>
      </c>
      <c r="O122" s="582"/>
      <c r="P122" s="577" t="s">
        <v>42</v>
      </c>
      <c r="Q122" s="585"/>
      <c r="R122" s="586">
        <v>4</v>
      </c>
      <c r="S122" s="587"/>
      <c r="T122" s="54" t="s">
        <v>112</v>
      </c>
      <c r="U122" s="45">
        <v>0.68</v>
      </c>
      <c r="V122" s="41">
        <f>R122*U122</f>
        <v>2.72</v>
      </c>
      <c r="X122" s="581" t="s">
        <v>129</v>
      </c>
      <c r="Y122" s="582"/>
      <c r="Z122" s="577" t="s">
        <v>43</v>
      </c>
      <c r="AA122" s="585"/>
      <c r="AB122" s="586">
        <v>8</v>
      </c>
      <c r="AC122" s="587"/>
      <c r="AD122" s="54" t="s">
        <v>124</v>
      </c>
      <c r="AE122" s="45">
        <v>0.46</v>
      </c>
      <c r="AF122" s="41">
        <f>AB122*AE122</f>
        <v>3.68</v>
      </c>
    </row>
    <row r="123" spans="4:32" x14ac:dyDescent="0.25">
      <c r="D123" s="583"/>
      <c r="E123" s="584"/>
      <c r="F123" s="588" t="s">
        <v>43</v>
      </c>
      <c r="G123" s="602"/>
      <c r="H123" s="603">
        <v>6</v>
      </c>
      <c r="I123" s="567"/>
      <c r="J123" s="57" t="s">
        <v>124</v>
      </c>
      <c r="K123" s="53">
        <v>0.46</v>
      </c>
      <c r="L123" s="53">
        <f>H123*K123</f>
        <v>2.7600000000000002</v>
      </c>
      <c r="N123" s="583"/>
      <c r="O123" s="584"/>
      <c r="P123" s="588" t="s">
        <v>43</v>
      </c>
      <c r="Q123" s="602"/>
      <c r="R123" s="603">
        <v>12</v>
      </c>
      <c r="S123" s="567"/>
      <c r="T123" s="57" t="s">
        <v>124</v>
      </c>
      <c r="U123" s="53">
        <v>0.46</v>
      </c>
      <c r="V123" s="53">
        <f>R123*U123</f>
        <v>5.5200000000000005</v>
      </c>
      <c r="X123" s="583"/>
      <c r="Y123" s="584"/>
      <c r="Z123" s="575" t="s">
        <v>44</v>
      </c>
      <c r="AA123" s="576"/>
      <c r="AB123" s="603">
        <v>8</v>
      </c>
      <c r="AC123" s="567"/>
      <c r="AD123" s="57" t="s">
        <v>124</v>
      </c>
      <c r="AE123" s="53">
        <v>0.45</v>
      </c>
      <c r="AF123" s="53">
        <f>AB123*AE123</f>
        <v>3.6</v>
      </c>
    </row>
    <row r="124" spans="4:32" ht="15.75" thickBot="1" x14ac:dyDescent="0.3">
      <c r="D124" s="583"/>
      <c r="E124" s="584"/>
      <c r="F124" s="595" t="s">
        <v>44</v>
      </c>
      <c r="G124" s="596"/>
      <c r="H124" s="593">
        <v>6</v>
      </c>
      <c r="I124" s="594"/>
      <c r="J124" s="58" t="s">
        <v>124</v>
      </c>
      <c r="K124" s="56">
        <v>0.45</v>
      </c>
      <c r="L124" s="56">
        <f>H124*K124</f>
        <v>2.7</v>
      </c>
      <c r="N124" s="583"/>
      <c r="O124" s="584"/>
      <c r="P124" s="595" t="s">
        <v>44</v>
      </c>
      <c r="Q124" s="596"/>
      <c r="R124" s="593">
        <v>12</v>
      </c>
      <c r="S124" s="594"/>
      <c r="T124" s="58" t="s">
        <v>124</v>
      </c>
      <c r="U124" s="56">
        <v>0.45</v>
      </c>
      <c r="V124" s="56">
        <f>R124*U124</f>
        <v>5.4</v>
      </c>
      <c r="X124" s="583"/>
      <c r="Y124" s="584"/>
      <c r="Z124" s="595"/>
      <c r="AA124" s="596"/>
      <c r="AB124" s="593"/>
      <c r="AC124" s="594"/>
      <c r="AD124" s="58"/>
      <c r="AE124" s="56"/>
      <c r="AF124" s="56"/>
    </row>
    <row r="125" spans="4:32" x14ac:dyDescent="0.25">
      <c r="D125" s="577" t="s">
        <v>51</v>
      </c>
      <c r="E125" s="578"/>
      <c r="F125" s="577" t="s">
        <v>171</v>
      </c>
      <c r="G125" s="578"/>
      <c r="H125" s="579">
        <v>4</v>
      </c>
      <c r="I125" s="590"/>
      <c r="J125" s="54" t="s">
        <v>124</v>
      </c>
      <c r="K125" s="59">
        <v>1.35</v>
      </c>
      <c r="L125" s="41">
        <f>H125*K125</f>
        <v>5.4</v>
      </c>
      <c r="N125" s="577" t="s">
        <v>51</v>
      </c>
      <c r="O125" s="578"/>
      <c r="P125" s="577" t="s">
        <v>171</v>
      </c>
      <c r="Q125" s="578"/>
      <c r="R125" s="579">
        <v>4</v>
      </c>
      <c r="S125" s="580"/>
      <c r="T125" s="54" t="s">
        <v>124</v>
      </c>
      <c r="U125" s="59">
        <v>1.35</v>
      </c>
      <c r="V125" s="41">
        <f t="shared" ref="V125:V128" si="7">R125*U125</f>
        <v>5.4</v>
      </c>
      <c r="X125" s="577" t="s">
        <v>51</v>
      </c>
      <c r="Y125" s="578"/>
      <c r="Z125" s="577" t="s">
        <v>171</v>
      </c>
      <c r="AA125" s="578"/>
      <c r="AB125" s="579">
        <v>4</v>
      </c>
      <c r="AC125" s="590"/>
      <c r="AD125" s="54" t="s">
        <v>124</v>
      </c>
      <c r="AE125" s="59">
        <v>1.35</v>
      </c>
      <c r="AF125" s="41">
        <f t="shared" ref="AF125:AF128" si="8">AB125*AE125</f>
        <v>5.4</v>
      </c>
    </row>
    <row r="126" spans="4:32" x14ac:dyDescent="0.25">
      <c r="D126" s="588" t="s">
        <v>130</v>
      </c>
      <c r="E126" s="589"/>
      <c r="F126" s="588" t="s">
        <v>46</v>
      </c>
      <c r="G126" s="589"/>
      <c r="H126" s="591">
        <v>30</v>
      </c>
      <c r="I126" s="592"/>
      <c r="J126" s="57" t="s">
        <v>112</v>
      </c>
      <c r="K126" s="55">
        <v>7.0000000000000007E-2</v>
      </c>
      <c r="L126" s="53">
        <f t="shared" ref="L126:L128" si="9">H126*K126</f>
        <v>2.1</v>
      </c>
      <c r="N126" s="588" t="s">
        <v>130</v>
      </c>
      <c r="O126" s="589"/>
      <c r="P126" s="588" t="s">
        <v>46</v>
      </c>
      <c r="Q126" s="589"/>
      <c r="R126" s="591">
        <v>35</v>
      </c>
      <c r="S126" s="597"/>
      <c r="T126" s="57" t="s">
        <v>112</v>
      </c>
      <c r="U126" s="55">
        <v>7.0000000000000007E-2</v>
      </c>
      <c r="V126" s="53">
        <f t="shared" si="7"/>
        <v>2.4500000000000002</v>
      </c>
      <c r="X126" s="588" t="s">
        <v>130</v>
      </c>
      <c r="Y126" s="589"/>
      <c r="Z126" s="588" t="s">
        <v>46</v>
      </c>
      <c r="AA126" s="589"/>
      <c r="AB126" s="591">
        <v>16</v>
      </c>
      <c r="AC126" s="592"/>
      <c r="AD126" s="57" t="s">
        <v>112</v>
      </c>
      <c r="AE126" s="55">
        <v>7.0000000000000007E-2</v>
      </c>
      <c r="AF126" s="53">
        <f t="shared" si="8"/>
        <v>1.1200000000000001</v>
      </c>
    </row>
    <row r="127" spans="4:32" x14ac:dyDescent="0.25">
      <c r="D127" s="575" t="s">
        <v>47</v>
      </c>
      <c r="E127" s="576"/>
      <c r="F127" s="575" t="s">
        <v>48</v>
      </c>
      <c r="G127" s="576"/>
      <c r="H127" s="566">
        <v>2</v>
      </c>
      <c r="I127" s="567"/>
      <c r="J127" s="57" t="s">
        <v>124</v>
      </c>
      <c r="K127" s="55">
        <v>7.0000000000000007E-2</v>
      </c>
      <c r="L127" s="53">
        <f t="shared" si="9"/>
        <v>0.14000000000000001</v>
      </c>
      <c r="N127" s="575" t="s">
        <v>153</v>
      </c>
      <c r="O127" s="576"/>
      <c r="P127" s="575" t="s">
        <v>168</v>
      </c>
      <c r="Q127" s="576"/>
      <c r="R127" s="566">
        <v>50</v>
      </c>
      <c r="S127" s="567"/>
      <c r="T127" s="57" t="s">
        <v>124</v>
      </c>
      <c r="U127" s="55">
        <v>1.4999999999999999E-2</v>
      </c>
      <c r="V127" s="53">
        <f t="shared" si="7"/>
        <v>0.75</v>
      </c>
      <c r="X127" s="575" t="s">
        <v>148</v>
      </c>
      <c r="Y127" s="576"/>
      <c r="Z127" s="575" t="s">
        <v>154</v>
      </c>
      <c r="AA127" s="576"/>
      <c r="AB127" s="566">
        <v>16</v>
      </c>
      <c r="AC127" s="567"/>
      <c r="AD127" s="57" t="s">
        <v>124</v>
      </c>
      <c r="AE127" s="55">
        <v>1.4999999999999999E-2</v>
      </c>
      <c r="AF127" s="53">
        <f t="shared" si="8"/>
        <v>0.24</v>
      </c>
    </row>
    <row r="128" spans="4:32" x14ac:dyDescent="0.25">
      <c r="D128" s="575" t="s">
        <v>140</v>
      </c>
      <c r="E128" s="576"/>
      <c r="F128" s="575" t="s">
        <v>177</v>
      </c>
      <c r="G128" s="576"/>
      <c r="H128" s="566">
        <v>8</v>
      </c>
      <c r="I128" s="567"/>
      <c r="J128" s="57" t="s">
        <v>112</v>
      </c>
      <c r="K128" s="55">
        <v>0.16</v>
      </c>
      <c r="L128" s="56">
        <f t="shared" si="9"/>
        <v>1.28</v>
      </c>
      <c r="N128" s="575" t="s">
        <v>47</v>
      </c>
      <c r="O128" s="576"/>
      <c r="P128" s="575" t="s">
        <v>48</v>
      </c>
      <c r="Q128" s="576"/>
      <c r="R128" s="566">
        <v>4</v>
      </c>
      <c r="S128" s="567"/>
      <c r="T128" s="57" t="s">
        <v>124</v>
      </c>
      <c r="U128" s="55">
        <v>7.0000000000000007E-2</v>
      </c>
      <c r="V128" s="56">
        <f t="shared" si="7"/>
        <v>0.28000000000000003</v>
      </c>
      <c r="X128" s="575" t="s">
        <v>47</v>
      </c>
      <c r="Y128" s="576"/>
      <c r="Z128" s="575" t="s">
        <v>48</v>
      </c>
      <c r="AA128" s="576"/>
      <c r="AB128" s="566">
        <v>4</v>
      </c>
      <c r="AC128" s="567"/>
      <c r="AD128" s="57" t="s">
        <v>124</v>
      </c>
      <c r="AE128" s="55">
        <v>7.0000000000000007E-2</v>
      </c>
      <c r="AF128" s="56">
        <f t="shared" si="8"/>
        <v>0.28000000000000003</v>
      </c>
    </row>
    <row r="129" spans="4:32" x14ac:dyDescent="0.25">
      <c r="D129" s="575"/>
      <c r="E129" s="576"/>
      <c r="F129" s="575"/>
      <c r="G129" s="576"/>
      <c r="H129" s="566"/>
      <c r="I129" s="567"/>
      <c r="J129" s="58"/>
      <c r="K129" s="55"/>
      <c r="L129" s="56"/>
      <c r="N129" s="575" t="s">
        <v>150</v>
      </c>
      <c r="O129" s="576"/>
      <c r="P129" s="575" t="s">
        <v>178</v>
      </c>
      <c r="Q129" s="576"/>
      <c r="R129" s="566">
        <v>2</v>
      </c>
      <c r="S129" s="567"/>
      <c r="T129" s="57" t="s">
        <v>131</v>
      </c>
      <c r="U129" s="55">
        <v>1.1000000000000001E-3</v>
      </c>
      <c r="V129" s="56">
        <f>46*34*R129*U129</f>
        <v>3.4408000000000003</v>
      </c>
      <c r="X129" s="575" t="s">
        <v>162</v>
      </c>
      <c r="Y129" s="576"/>
      <c r="Z129" s="575" t="s">
        <v>179</v>
      </c>
      <c r="AA129" s="576"/>
      <c r="AB129" s="566">
        <v>2</v>
      </c>
      <c r="AC129" s="567"/>
      <c r="AD129" s="57" t="s">
        <v>131</v>
      </c>
      <c r="AE129" s="55">
        <v>1.1000000000000001E-3</v>
      </c>
      <c r="AF129" s="56">
        <f>26*35*AB129*AE129</f>
        <v>2.0020000000000002</v>
      </c>
    </row>
    <row r="130" spans="4:32" ht="15.75" thickBot="1" x14ac:dyDescent="0.3">
      <c r="D130" s="571"/>
      <c r="E130" s="572"/>
      <c r="F130" s="571"/>
      <c r="G130" s="572"/>
      <c r="H130" s="573"/>
      <c r="I130" s="574"/>
      <c r="J130" s="61"/>
      <c r="K130" s="60"/>
      <c r="L130" s="61"/>
      <c r="N130" s="571"/>
      <c r="O130" s="572"/>
      <c r="P130" s="571"/>
      <c r="Q130" s="572"/>
      <c r="R130" s="573"/>
      <c r="S130" s="574"/>
      <c r="T130" s="61"/>
      <c r="U130" s="60"/>
      <c r="V130" s="61"/>
      <c r="X130" s="571"/>
      <c r="Y130" s="572"/>
      <c r="Z130" s="571"/>
      <c r="AA130" s="572"/>
      <c r="AB130" s="573"/>
      <c r="AC130" s="574"/>
      <c r="AD130" s="61"/>
      <c r="AE130" s="60"/>
      <c r="AF130" s="61"/>
    </row>
    <row r="131" spans="4:32" ht="16.5" thickBot="1" x14ac:dyDescent="0.3">
      <c r="D131" s="568" t="s">
        <v>133</v>
      </c>
      <c r="E131" s="569"/>
      <c r="F131" s="569"/>
      <c r="G131" s="569"/>
      <c r="H131" s="569"/>
      <c r="I131" s="569"/>
      <c r="J131" s="569"/>
      <c r="K131" s="570"/>
      <c r="L131" s="62">
        <f>SUM(L114:L130)</f>
        <v>29.007500000000007</v>
      </c>
      <c r="N131" s="568" t="s">
        <v>133</v>
      </c>
      <c r="O131" s="569"/>
      <c r="P131" s="569"/>
      <c r="Q131" s="569"/>
      <c r="R131" s="569"/>
      <c r="S131" s="569"/>
      <c r="T131" s="569"/>
      <c r="U131" s="570"/>
      <c r="V131" s="62">
        <f>SUM(V114:V130)</f>
        <v>33.340800000000002</v>
      </c>
      <c r="X131" s="568" t="s">
        <v>133</v>
      </c>
      <c r="Y131" s="569"/>
      <c r="Z131" s="569"/>
      <c r="AA131" s="569"/>
      <c r="AB131" s="569"/>
      <c r="AC131" s="569"/>
      <c r="AD131" s="569"/>
      <c r="AE131" s="570"/>
      <c r="AF131" s="62">
        <f>SUM(AF114:AF130)</f>
        <v>20.147000000000002</v>
      </c>
    </row>
  </sheetData>
  <mergeCells count="582">
    <mergeCell ref="AO85:AO87"/>
    <mergeCell ref="U86:U87"/>
    <mergeCell ref="D38:E38"/>
    <mergeCell ref="D39:E39"/>
    <mergeCell ref="D40:E40"/>
    <mergeCell ref="D41:E41"/>
    <mergeCell ref="D42:E42"/>
    <mergeCell ref="D43:E43"/>
    <mergeCell ref="AO37:AO38"/>
    <mergeCell ref="K85:K87"/>
    <mergeCell ref="K70:K73"/>
    <mergeCell ref="AE70:AE73"/>
    <mergeCell ref="AO70:AO74"/>
    <mergeCell ref="F71:G71"/>
    <mergeCell ref="F72:G72"/>
    <mergeCell ref="F73:G73"/>
    <mergeCell ref="F74:G74"/>
    <mergeCell ref="R80:S80"/>
    <mergeCell ref="N70:O75"/>
    <mergeCell ref="U70:U75"/>
    <mergeCell ref="N76:O78"/>
    <mergeCell ref="D82:E82"/>
    <mergeCell ref="D83:E83"/>
    <mergeCell ref="D84:E84"/>
    <mergeCell ref="D85:E85"/>
    <mergeCell ref="D86:E86"/>
    <mergeCell ref="D87:E87"/>
    <mergeCell ref="N84:O84"/>
    <mergeCell ref="N85:O85"/>
    <mergeCell ref="N86:O86"/>
    <mergeCell ref="N87:O87"/>
    <mergeCell ref="R73:S73"/>
    <mergeCell ref="F76:G76"/>
    <mergeCell ref="R76:S76"/>
    <mergeCell ref="P80:Q80"/>
    <mergeCell ref="N81:O81"/>
    <mergeCell ref="N82:O82"/>
    <mergeCell ref="N83:O83"/>
    <mergeCell ref="H74:I74"/>
    <mergeCell ref="R74:S74"/>
    <mergeCell ref="H76:I76"/>
    <mergeCell ref="F75:G75"/>
    <mergeCell ref="F85:G85"/>
    <mergeCell ref="H85:I85"/>
    <mergeCell ref="P85:Q85"/>
    <mergeCell ref="R85:S85"/>
    <mergeCell ref="D6:L6"/>
    <mergeCell ref="N6:V6"/>
    <mergeCell ref="N25:O26"/>
    <mergeCell ref="P25:Q26"/>
    <mergeCell ref="R25:S26"/>
    <mergeCell ref="T25:T26"/>
    <mergeCell ref="U25:U26"/>
    <mergeCell ref="V25:V26"/>
    <mergeCell ref="D25:E26"/>
    <mergeCell ref="F25:G26"/>
    <mergeCell ref="H25:I26"/>
    <mergeCell ref="J25:J26"/>
    <mergeCell ref="K25:K26"/>
    <mergeCell ref="L25:L26"/>
    <mergeCell ref="D27:E34"/>
    <mergeCell ref="F27:G27"/>
    <mergeCell ref="H27:I27"/>
    <mergeCell ref="X6:AF6"/>
    <mergeCell ref="AH6:AP6"/>
    <mergeCell ref="D23:L24"/>
    <mergeCell ref="N23:V24"/>
    <mergeCell ref="X23:AF24"/>
    <mergeCell ref="AH23:AP24"/>
    <mergeCell ref="AH25:AI26"/>
    <mergeCell ref="AJ25:AK26"/>
    <mergeCell ref="AL25:AM26"/>
    <mergeCell ref="AN25:AN26"/>
    <mergeCell ref="AO25:AO26"/>
    <mergeCell ref="AP25:AP26"/>
    <mergeCell ref="X25:Y26"/>
    <mergeCell ref="Z25:AA26"/>
    <mergeCell ref="AB25:AC26"/>
    <mergeCell ref="AD25:AD26"/>
    <mergeCell ref="AE25:AE26"/>
    <mergeCell ref="AF25:AF26"/>
    <mergeCell ref="K27:K34"/>
    <mergeCell ref="N27:O31"/>
    <mergeCell ref="R27:S27"/>
    <mergeCell ref="D2:AP3"/>
    <mergeCell ref="D4:L4"/>
    <mergeCell ref="N4:V4"/>
    <mergeCell ref="X4:AF4"/>
    <mergeCell ref="AH4:AP4"/>
    <mergeCell ref="D5:L5"/>
    <mergeCell ref="N5:V5"/>
    <mergeCell ref="X5:AF5"/>
    <mergeCell ref="AH5:AP5"/>
    <mergeCell ref="R29:S29"/>
    <mergeCell ref="H31:I31"/>
    <mergeCell ref="P31:Q31"/>
    <mergeCell ref="R31:S31"/>
    <mergeCell ref="AJ27:AK27"/>
    <mergeCell ref="AL27:AM27"/>
    <mergeCell ref="AH30:AI32"/>
    <mergeCell ref="AJ30:AK30"/>
    <mergeCell ref="AL30:AM30"/>
    <mergeCell ref="AJ31:AK31"/>
    <mergeCell ref="AL31:AM31"/>
    <mergeCell ref="AL32:AM32"/>
    <mergeCell ref="P30:Q30"/>
    <mergeCell ref="R30:S30"/>
    <mergeCell ref="Z30:AA30"/>
    <mergeCell ref="AB30:AC30"/>
    <mergeCell ref="AL33:AM33"/>
    <mergeCell ref="AB34:AC34"/>
    <mergeCell ref="AJ34:AK34"/>
    <mergeCell ref="AL34:AM34"/>
    <mergeCell ref="AO27:AO29"/>
    <mergeCell ref="H28:I28"/>
    <mergeCell ref="R28:S28"/>
    <mergeCell ref="AB28:AC28"/>
    <mergeCell ref="AJ28:AK28"/>
    <mergeCell ref="AL28:AM28"/>
    <mergeCell ref="H29:I29"/>
    <mergeCell ref="P29:Q29"/>
    <mergeCell ref="U27:U31"/>
    <mergeCell ref="X27:Y32"/>
    <mergeCell ref="Z27:AA27"/>
    <mergeCell ref="AB27:AC27"/>
    <mergeCell ref="AE27:AE32"/>
    <mergeCell ref="AH27:AI29"/>
    <mergeCell ref="AB29:AC29"/>
    <mergeCell ref="Z31:AA31"/>
    <mergeCell ref="AB31:AC31"/>
    <mergeCell ref="AJ29:AK29"/>
    <mergeCell ref="AL29:AM29"/>
    <mergeCell ref="H30:I30"/>
    <mergeCell ref="F32:G32"/>
    <mergeCell ref="H32:I32"/>
    <mergeCell ref="N32:O34"/>
    <mergeCell ref="P32:Q32"/>
    <mergeCell ref="R32:S32"/>
    <mergeCell ref="Z32:AA32"/>
    <mergeCell ref="AB32:AC32"/>
    <mergeCell ref="AJ32:AK32"/>
    <mergeCell ref="AH33:AI33"/>
    <mergeCell ref="AH34:AI34"/>
    <mergeCell ref="F33:G33"/>
    <mergeCell ref="H33:I33"/>
    <mergeCell ref="P33:Q33"/>
    <mergeCell ref="R33:S33"/>
    <mergeCell ref="X33:Y35"/>
    <mergeCell ref="Z33:AA33"/>
    <mergeCell ref="AB33:AC33"/>
    <mergeCell ref="AJ33:AK33"/>
    <mergeCell ref="N35:O35"/>
    <mergeCell ref="F34:G34"/>
    <mergeCell ref="H34:I34"/>
    <mergeCell ref="P34:Q34"/>
    <mergeCell ref="R34:S34"/>
    <mergeCell ref="Z34:AA34"/>
    <mergeCell ref="N37:O37"/>
    <mergeCell ref="N38:O38"/>
    <mergeCell ref="X36:Y36"/>
    <mergeCell ref="X37:Y37"/>
    <mergeCell ref="X38:Y38"/>
    <mergeCell ref="AH35:AI35"/>
    <mergeCell ref="AH36:AI36"/>
    <mergeCell ref="AH37:AI37"/>
    <mergeCell ref="AH38:AI38"/>
    <mergeCell ref="Z35:AA35"/>
    <mergeCell ref="AB35:AC35"/>
    <mergeCell ref="AJ35:AK35"/>
    <mergeCell ref="AL35:AM35"/>
    <mergeCell ref="F36:G36"/>
    <mergeCell ref="H36:I36"/>
    <mergeCell ref="P36:Q36"/>
    <mergeCell ref="R36:S36"/>
    <mergeCell ref="Z36:AA36"/>
    <mergeCell ref="F35:G35"/>
    <mergeCell ref="H35:I35"/>
    <mergeCell ref="P35:Q35"/>
    <mergeCell ref="R35:S35"/>
    <mergeCell ref="AB36:AC36"/>
    <mergeCell ref="AJ36:AK36"/>
    <mergeCell ref="AL36:AM36"/>
    <mergeCell ref="N36:O36"/>
    <mergeCell ref="AJ38:AK38"/>
    <mergeCell ref="AL38:AM38"/>
    <mergeCell ref="F39:G39"/>
    <mergeCell ref="H39:I39"/>
    <mergeCell ref="P39:Q39"/>
    <mergeCell ref="R39:S39"/>
    <mergeCell ref="N39:O39"/>
    <mergeCell ref="N40:O40"/>
    <mergeCell ref="X39:Y39"/>
    <mergeCell ref="X40:Y40"/>
    <mergeCell ref="D35:E37"/>
    <mergeCell ref="Z39:AA39"/>
    <mergeCell ref="AB39:AC39"/>
    <mergeCell ref="AH39:AO39"/>
    <mergeCell ref="F40:G40"/>
    <mergeCell ref="H40:I40"/>
    <mergeCell ref="P40:Q40"/>
    <mergeCell ref="R40:S40"/>
    <mergeCell ref="Z40:AA40"/>
    <mergeCell ref="AB40:AC40"/>
    <mergeCell ref="F37:G37"/>
    <mergeCell ref="H37:I37"/>
    <mergeCell ref="P37:Q37"/>
    <mergeCell ref="R37:S37"/>
    <mergeCell ref="Z37:AA37"/>
    <mergeCell ref="AB37:AC37"/>
    <mergeCell ref="AJ37:AK37"/>
    <mergeCell ref="AL37:AM37"/>
    <mergeCell ref="F38:G38"/>
    <mergeCell ref="H38:I38"/>
    <mergeCell ref="P38:Q38"/>
    <mergeCell ref="R38:S38"/>
    <mergeCell ref="Z38:AA38"/>
    <mergeCell ref="AB38:AC38"/>
    <mergeCell ref="F43:G43"/>
    <mergeCell ref="H43:I43"/>
    <mergeCell ref="D44:K44"/>
    <mergeCell ref="D46:L46"/>
    <mergeCell ref="N46:V46"/>
    <mergeCell ref="X46:AF46"/>
    <mergeCell ref="F41:G41"/>
    <mergeCell ref="H41:I41"/>
    <mergeCell ref="N41:U41"/>
    <mergeCell ref="Z41:AA41"/>
    <mergeCell ref="AB41:AC41"/>
    <mergeCell ref="F42:G42"/>
    <mergeCell ref="H42:I42"/>
    <mergeCell ref="X42:AE42"/>
    <mergeCell ref="X41:Y41"/>
    <mergeCell ref="D68:E69"/>
    <mergeCell ref="F68:G69"/>
    <mergeCell ref="H68:I69"/>
    <mergeCell ref="J68:J69"/>
    <mergeCell ref="K68:K69"/>
    <mergeCell ref="L68:L69"/>
    <mergeCell ref="AH46:AP46"/>
    <mergeCell ref="D47:L47"/>
    <mergeCell ref="N47:V47"/>
    <mergeCell ref="X47:AF47"/>
    <mergeCell ref="AH47:AP47"/>
    <mergeCell ref="D48:L48"/>
    <mergeCell ref="N48:V48"/>
    <mergeCell ref="X48:AF48"/>
    <mergeCell ref="AH48:AP48"/>
    <mergeCell ref="N68:O69"/>
    <mergeCell ref="P68:Q69"/>
    <mergeCell ref="R68:S69"/>
    <mergeCell ref="T68:T69"/>
    <mergeCell ref="U68:U69"/>
    <mergeCell ref="V68:V69"/>
    <mergeCell ref="D66:L67"/>
    <mergeCell ref="N66:V67"/>
    <mergeCell ref="X66:AF67"/>
    <mergeCell ref="AH68:AI69"/>
    <mergeCell ref="AJ68:AK69"/>
    <mergeCell ref="AL68:AM69"/>
    <mergeCell ref="AN68:AN69"/>
    <mergeCell ref="AO68:AO69"/>
    <mergeCell ref="AP68:AP69"/>
    <mergeCell ref="X68:Y69"/>
    <mergeCell ref="Z68:AA69"/>
    <mergeCell ref="AB68:AC69"/>
    <mergeCell ref="AD68:AD69"/>
    <mergeCell ref="AE68:AE69"/>
    <mergeCell ref="AF68:AF69"/>
    <mergeCell ref="AH66:AP67"/>
    <mergeCell ref="H71:I71"/>
    <mergeCell ref="R71:S71"/>
    <mergeCell ref="AB71:AC71"/>
    <mergeCell ref="AL71:AM71"/>
    <mergeCell ref="H72:I72"/>
    <mergeCell ref="R72:S72"/>
    <mergeCell ref="R70:S70"/>
    <mergeCell ref="X70:Y77"/>
    <mergeCell ref="Z70:AA70"/>
    <mergeCell ref="AB70:AC70"/>
    <mergeCell ref="AB72:AC72"/>
    <mergeCell ref="R75:S75"/>
    <mergeCell ref="Z75:AA75"/>
    <mergeCell ref="AB75:AC75"/>
    <mergeCell ref="H70:I70"/>
    <mergeCell ref="P70:Q70"/>
    <mergeCell ref="H75:I75"/>
    <mergeCell ref="P75:Q75"/>
    <mergeCell ref="P71:Q71"/>
    <mergeCell ref="AL72:AM72"/>
    <mergeCell ref="H73:I73"/>
    <mergeCell ref="AB73:AC73"/>
    <mergeCell ref="AL73:AM73"/>
    <mergeCell ref="AB74:AC74"/>
    <mergeCell ref="AL74:AM74"/>
    <mergeCell ref="AH70:AI77"/>
    <mergeCell ref="AJ70:AK70"/>
    <mergeCell ref="AL70:AM70"/>
    <mergeCell ref="P72:Q72"/>
    <mergeCell ref="P73:Q73"/>
    <mergeCell ref="P74:Q74"/>
    <mergeCell ref="Z71:AA71"/>
    <mergeCell ref="Z72:AA72"/>
    <mergeCell ref="Z73:AA73"/>
    <mergeCell ref="Z74:AA74"/>
    <mergeCell ref="AJ71:AK71"/>
    <mergeCell ref="AJ72:AK72"/>
    <mergeCell ref="AJ73:AK73"/>
    <mergeCell ref="AJ74:AK74"/>
    <mergeCell ref="AJ75:AK75"/>
    <mergeCell ref="AL75:AM75"/>
    <mergeCell ref="P76:Q76"/>
    <mergeCell ref="Z76:AA76"/>
    <mergeCell ref="AB76:AC76"/>
    <mergeCell ref="AJ76:AK76"/>
    <mergeCell ref="AL76:AM76"/>
    <mergeCell ref="AL77:AM77"/>
    <mergeCell ref="AJ77:AK77"/>
    <mergeCell ref="D70:E77"/>
    <mergeCell ref="F70:G70"/>
    <mergeCell ref="F77:G77"/>
    <mergeCell ref="F80:G80"/>
    <mergeCell ref="Z80:AA80"/>
    <mergeCell ref="AJ80:AK80"/>
    <mergeCell ref="H80:I80"/>
    <mergeCell ref="AL79:AM79"/>
    <mergeCell ref="D78:E81"/>
    <mergeCell ref="F78:G78"/>
    <mergeCell ref="H78:I78"/>
    <mergeCell ref="P78:Q78"/>
    <mergeCell ref="R78:S78"/>
    <mergeCell ref="X78:Y81"/>
    <mergeCell ref="Z78:AA78"/>
    <mergeCell ref="AB78:AC78"/>
    <mergeCell ref="H77:I77"/>
    <mergeCell ref="P77:Q77"/>
    <mergeCell ref="R77:S77"/>
    <mergeCell ref="Z77:AA77"/>
    <mergeCell ref="AB77:AC77"/>
    <mergeCell ref="F81:G81"/>
    <mergeCell ref="H81:I81"/>
    <mergeCell ref="AJ81:AK81"/>
    <mergeCell ref="AL81:AM81"/>
    <mergeCell ref="AH78:AI81"/>
    <mergeCell ref="AJ78:AK78"/>
    <mergeCell ref="AL78:AM78"/>
    <mergeCell ref="F79:G79"/>
    <mergeCell ref="H79:I79"/>
    <mergeCell ref="P79:Q79"/>
    <mergeCell ref="R79:S79"/>
    <mergeCell ref="Z79:AA79"/>
    <mergeCell ref="AB79:AC79"/>
    <mergeCell ref="AJ79:AK79"/>
    <mergeCell ref="AB80:AC80"/>
    <mergeCell ref="AL80:AM80"/>
    <mergeCell ref="P81:Q81"/>
    <mergeCell ref="R81:S81"/>
    <mergeCell ref="Z81:AA81"/>
    <mergeCell ref="AB81:AC81"/>
    <mergeCell ref="N79:O79"/>
    <mergeCell ref="N80:O80"/>
    <mergeCell ref="Z82:AA82"/>
    <mergeCell ref="AB82:AC82"/>
    <mergeCell ref="Z83:AA83"/>
    <mergeCell ref="AB83:AC83"/>
    <mergeCell ref="AJ84:AK84"/>
    <mergeCell ref="AJ83:AK83"/>
    <mergeCell ref="AL83:AM83"/>
    <mergeCell ref="F82:G82"/>
    <mergeCell ref="H82:I82"/>
    <mergeCell ref="P82:Q82"/>
    <mergeCell ref="R82:S82"/>
    <mergeCell ref="F83:G83"/>
    <mergeCell ref="H83:I83"/>
    <mergeCell ref="P83:Q83"/>
    <mergeCell ref="R83:S83"/>
    <mergeCell ref="AH82:AI82"/>
    <mergeCell ref="AH83:AI83"/>
    <mergeCell ref="AJ82:AK82"/>
    <mergeCell ref="AL82:AM82"/>
    <mergeCell ref="X82:Y82"/>
    <mergeCell ref="X83:Y83"/>
    <mergeCell ref="AL84:AM84"/>
    <mergeCell ref="Z85:AA85"/>
    <mergeCell ref="AB85:AC85"/>
    <mergeCell ref="AJ85:AK85"/>
    <mergeCell ref="AL85:AM85"/>
    <mergeCell ref="F84:G84"/>
    <mergeCell ref="H84:I84"/>
    <mergeCell ref="P84:Q84"/>
    <mergeCell ref="R84:S84"/>
    <mergeCell ref="Z84:AA84"/>
    <mergeCell ref="AB84:AC84"/>
    <mergeCell ref="AH84:AI84"/>
    <mergeCell ref="AH85:AI85"/>
    <mergeCell ref="X84:Y84"/>
    <mergeCell ref="X85:Y85"/>
    <mergeCell ref="AH88:AO88"/>
    <mergeCell ref="D90:L90"/>
    <mergeCell ref="N90:V90"/>
    <mergeCell ref="X90:AF90"/>
    <mergeCell ref="AJ86:AK86"/>
    <mergeCell ref="AL86:AM86"/>
    <mergeCell ref="F87:G87"/>
    <mergeCell ref="H87:I87"/>
    <mergeCell ref="P87:Q87"/>
    <mergeCell ref="R87:S87"/>
    <mergeCell ref="Z87:AA87"/>
    <mergeCell ref="AB87:AC87"/>
    <mergeCell ref="AJ87:AK87"/>
    <mergeCell ref="AL87:AM87"/>
    <mergeCell ref="F86:G86"/>
    <mergeCell ref="H86:I86"/>
    <mergeCell ref="P86:Q86"/>
    <mergeCell ref="R86:S86"/>
    <mergeCell ref="Z86:AA86"/>
    <mergeCell ref="AB86:AC86"/>
    <mergeCell ref="AH86:AI86"/>
    <mergeCell ref="AH87:AI87"/>
    <mergeCell ref="X86:Y86"/>
    <mergeCell ref="X87:Y87"/>
    <mergeCell ref="AE114:AE116"/>
    <mergeCell ref="P112:Q113"/>
    <mergeCell ref="R112:S113"/>
    <mergeCell ref="T112:T113"/>
    <mergeCell ref="D88:K88"/>
    <mergeCell ref="N88:U88"/>
    <mergeCell ref="X88:AE88"/>
    <mergeCell ref="D110:L111"/>
    <mergeCell ref="N110:V111"/>
    <mergeCell ref="X110:AF111"/>
    <mergeCell ref="D91:L91"/>
    <mergeCell ref="N91:V91"/>
    <mergeCell ref="X91:AF91"/>
    <mergeCell ref="D92:L92"/>
    <mergeCell ref="N92:V92"/>
    <mergeCell ref="X92:AF92"/>
    <mergeCell ref="N112:O113"/>
    <mergeCell ref="Z112:AA113"/>
    <mergeCell ref="AB112:AC113"/>
    <mergeCell ref="AD112:AD113"/>
    <mergeCell ref="AE112:AE113"/>
    <mergeCell ref="AF112:AF113"/>
    <mergeCell ref="V112:V113"/>
    <mergeCell ref="X112:Y113"/>
    <mergeCell ref="AB114:AC114"/>
    <mergeCell ref="Z121:AA121"/>
    <mergeCell ref="AB121:AC121"/>
    <mergeCell ref="D112:E113"/>
    <mergeCell ref="F112:G113"/>
    <mergeCell ref="H112:I113"/>
    <mergeCell ref="J112:J113"/>
    <mergeCell ref="K112:K113"/>
    <mergeCell ref="L112:L113"/>
    <mergeCell ref="U114:U116"/>
    <mergeCell ref="K114:K117"/>
    <mergeCell ref="D114:E121"/>
    <mergeCell ref="F114:G114"/>
    <mergeCell ref="H114:I114"/>
    <mergeCell ref="N114:O121"/>
    <mergeCell ref="F115:G115"/>
    <mergeCell ref="F116:G116"/>
    <mergeCell ref="F117:G117"/>
    <mergeCell ref="F118:G118"/>
    <mergeCell ref="F120:G120"/>
    <mergeCell ref="U112:U113"/>
    <mergeCell ref="H118:I118"/>
    <mergeCell ref="Z115:AA115"/>
    <mergeCell ref="Z116:AA116"/>
    <mergeCell ref="Z117:AA117"/>
    <mergeCell ref="Z118:AA118"/>
    <mergeCell ref="P117:Q117"/>
    <mergeCell ref="H115:I115"/>
    <mergeCell ref="R115:S115"/>
    <mergeCell ref="R118:S118"/>
    <mergeCell ref="P115:Q115"/>
    <mergeCell ref="P116:Q116"/>
    <mergeCell ref="P114:Q114"/>
    <mergeCell ref="R114:S114"/>
    <mergeCell ref="X114:Y121"/>
    <mergeCell ref="Z114:AA114"/>
    <mergeCell ref="F123:G123"/>
    <mergeCell ref="H123:I123"/>
    <mergeCell ref="P123:Q123"/>
    <mergeCell ref="R123:S123"/>
    <mergeCell ref="Z123:AA123"/>
    <mergeCell ref="AB123:AC123"/>
    <mergeCell ref="F124:G124"/>
    <mergeCell ref="Z122:AA122"/>
    <mergeCell ref="AB115:AC115"/>
    <mergeCell ref="H116:I116"/>
    <mergeCell ref="R116:S116"/>
    <mergeCell ref="AB116:AC116"/>
    <mergeCell ref="H117:I117"/>
    <mergeCell ref="R117:S117"/>
    <mergeCell ref="AB117:AC117"/>
    <mergeCell ref="F121:G121"/>
    <mergeCell ref="H121:I121"/>
    <mergeCell ref="P121:Q121"/>
    <mergeCell ref="R121:S121"/>
    <mergeCell ref="H120:I120"/>
    <mergeCell ref="P120:Q120"/>
    <mergeCell ref="R120:S120"/>
    <mergeCell ref="Z120:AA120"/>
    <mergeCell ref="AB120:AC120"/>
    <mergeCell ref="AB118:AC118"/>
    <mergeCell ref="F119:G119"/>
    <mergeCell ref="H119:I119"/>
    <mergeCell ref="P119:Q119"/>
    <mergeCell ref="R119:S119"/>
    <mergeCell ref="Z119:AA119"/>
    <mergeCell ref="AB119:AC119"/>
    <mergeCell ref="P122:Q122"/>
    <mergeCell ref="R122:S122"/>
    <mergeCell ref="P118:Q118"/>
    <mergeCell ref="AB122:AC122"/>
    <mergeCell ref="D127:E127"/>
    <mergeCell ref="X125:Y125"/>
    <mergeCell ref="X126:Y126"/>
    <mergeCell ref="AB127:AC127"/>
    <mergeCell ref="AB125:AC125"/>
    <mergeCell ref="AB126:AC126"/>
    <mergeCell ref="H124:I124"/>
    <mergeCell ref="P124:Q124"/>
    <mergeCell ref="R124:S124"/>
    <mergeCell ref="N125:O125"/>
    <mergeCell ref="N126:O126"/>
    <mergeCell ref="N127:O127"/>
    <mergeCell ref="X127:Y127"/>
    <mergeCell ref="F125:G125"/>
    <mergeCell ref="H125:I125"/>
    <mergeCell ref="R127:S127"/>
    <mergeCell ref="Z127:AA127"/>
    <mergeCell ref="F126:G126"/>
    <mergeCell ref="H126:I126"/>
    <mergeCell ref="P126:Q126"/>
    <mergeCell ref="R126:S126"/>
    <mergeCell ref="Z126:AA126"/>
    <mergeCell ref="Z124:AA124"/>
    <mergeCell ref="AB124:AC124"/>
    <mergeCell ref="P125:Q125"/>
    <mergeCell ref="R125:S125"/>
    <mergeCell ref="Z125:AA125"/>
    <mergeCell ref="D129:E129"/>
    <mergeCell ref="D130:E130"/>
    <mergeCell ref="D122:E124"/>
    <mergeCell ref="F122:G122"/>
    <mergeCell ref="H122:I122"/>
    <mergeCell ref="N122:O124"/>
    <mergeCell ref="F127:G127"/>
    <mergeCell ref="H127:I127"/>
    <mergeCell ref="P127:Q127"/>
    <mergeCell ref="N128:O128"/>
    <mergeCell ref="N129:O129"/>
    <mergeCell ref="N130:O130"/>
    <mergeCell ref="H128:I128"/>
    <mergeCell ref="X128:Y128"/>
    <mergeCell ref="X129:Y129"/>
    <mergeCell ref="P128:Q128"/>
    <mergeCell ref="R128:S128"/>
    <mergeCell ref="Z128:AA128"/>
    <mergeCell ref="X122:Y124"/>
    <mergeCell ref="D125:E125"/>
    <mergeCell ref="D126:E126"/>
    <mergeCell ref="AB128:AC128"/>
    <mergeCell ref="D131:K131"/>
    <mergeCell ref="N131:U131"/>
    <mergeCell ref="X131:AE131"/>
    <mergeCell ref="F130:G130"/>
    <mergeCell ref="H130:I130"/>
    <mergeCell ref="P130:Q130"/>
    <mergeCell ref="R130:S130"/>
    <mergeCell ref="Z130:AA130"/>
    <mergeCell ref="AB130:AC130"/>
    <mergeCell ref="X130:Y130"/>
    <mergeCell ref="F129:G129"/>
    <mergeCell ref="H129:I129"/>
    <mergeCell ref="P129:Q129"/>
    <mergeCell ref="R129:S129"/>
    <mergeCell ref="Z129:AA129"/>
    <mergeCell ref="AB129:AC129"/>
    <mergeCell ref="F128:G128"/>
    <mergeCell ref="D128:E128"/>
  </mergeCells>
  <pageMargins left="0.7" right="0.7" top="0.75" bottom="0.75" header="0.3" footer="0.3"/>
  <pageSetup paperSize="9" orientation="portrait" horizontalDpi="0" verticalDpi="0" r:id="rId1"/>
  <ignoredErrors>
    <ignoredError sqref="V85" 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Request Form</vt:lpstr>
      <vt:lpstr>Sample if PE design</vt:lpstr>
      <vt:lpstr>Summary of Sample</vt:lpstr>
      <vt:lpstr>Sample if section design</vt:lpstr>
      <vt:lpstr>Application Form.rev01</vt:lpstr>
      <vt:lpstr>Requesting Flow  (2)</vt:lpstr>
      <vt:lpstr>cost</vt:lpstr>
      <vt:lpstr>'Application Form.rev01'!Print_Area</vt:lpstr>
      <vt:lpstr>'Request Form'!Print_Area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Cortez, Ryan (BIPH-BPS)</dc:creator>
  <cp:lastModifiedBy>Puertollano, Jean Nicole (BIPH-BPS)</cp:lastModifiedBy>
  <cp:lastPrinted>2021-10-11T00:25:06Z</cp:lastPrinted>
  <dcterms:created xsi:type="dcterms:W3CDTF">2017-06-20T01:50:06Z</dcterms:created>
  <dcterms:modified xsi:type="dcterms:W3CDTF">2021-10-11T00:33:54Z</dcterms:modified>
</cp:coreProperties>
</file>